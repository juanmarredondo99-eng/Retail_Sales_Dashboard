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anm\Desktop\JUAN_MANUEL\HOJAS DE VIDA JM\Analista_de_Datos\Dashboards\1_sales_performance_dashboard\"/>
    </mc:Choice>
  </mc:AlternateContent>
  <xr:revisionPtr revIDLastSave="0" documentId="13_ncr:1_{F092AD07-7B88-4EBB-8553-AC276CF2AA8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Analysis " sheetId="4" state="hidden" r:id="rId2"/>
    <sheet name="dashboard" sheetId="2" r:id="rId3"/>
  </sheets>
  <definedNames>
    <definedName name="_xlnm.Print_Area" localSheetId="2">dashboard!$A$1:$Y$39</definedName>
    <definedName name="NativeTimeline_Order_Date">#N/A</definedName>
    <definedName name="SegmentaciónDeDatos_City">#N/A</definedName>
    <definedName name="SegmentaciónDeDatos_Product_Name">#N/A</definedName>
    <definedName name="SegmentaciónDeDatos_Region">#N/A</definedName>
    <definedName name="SegmentaciónDeDatos_Sales_Channel">#N/A</definedName>
    <definedName name="SegmentaciónDeDatos_Sales_Rep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4" l="1"/>
  <c r="L5" i="4"/>
  <c r="F5" i="4"/>
  <c r="C5" i="4"/>
  <c r="H5" i="4" l="1"/>
</calcChain>
</file>

<file path=xl/sharedStrings.xml><?xml version="1.0" encoding="utf-8"?>
<sst xmlns="http://schemas.openxmlformats.org/spreadsheetml/2006/main" count="8470" uniqueCount="68">
  <si>
    <t>Order_ID</t>
  </si>
  <si>
    <t>Order_Date</t>
  </si>
  <si>
    <t>Region</t>
  </si>
  <si>
    <t>City</t>
  </si>
  <si>
    <t>Sales_Channel</t>
  </si>
  <si>
    <t>Product_Category</t>
  </si>
  <si>
    <t>Product_Name</t>
  </si>
  <si>
    <t>Quantity</t>
  </si>
  <si>
    <t>Unit_Price</t>
  </si>
  <si>
    <t>Total_Sales</t>
  </si>
  <si>
    <t>Sales_Rep</t>
  </si>
  <si>
    <t>Payment_Method</t>
  </si>
  <si>
    <t>South</t>
  </si>
  <si>
    <t>Bogotá</t>
  </si>
  <si>
    <t>Online</t>
  </si>
  <si>
    <t>Accessories</t>
  </si>
  <si>
    <t>Backpacks</t>
  </si>
  <si>
    <t>Sofía</t>
  </si>
  <si>
    <t>Credit Card</t>
  </si>
  <si>
    <t>Caps</t>
  </si>
  <si>
    <t>Debit Card</t>
  </si>
  <si>
    <t>West</t>
  </si>
  <si>
    <t>Bucaramanga</t>
  </si>
  <si>
    <t>Store</t>
  </si>
  <si>
    <t>Socks</t>
  </si>
  <si>
    <t>Ana</t>
  </si>
  <si>
    <t>Cali</t>
  </si>
  <si>
    <t>Transfer</t>
  </si>
  <si>
    <t>Footwear</t>
  </si>
  <si>
    <t>Sneakers</t>
  </si>
  <si>
    <t>María</t>
  </si>
  <si>
    <t>Medellín</t>
  </si>
  <si>
    <t>Carlos</t>
  </si>
  <si>
    <t>Cash</t>
  </si>
  <si>
    <t>Running Shoes</t>
  </si>
  <si>
    <t>Luis</t>
  </si>
  <si>
    <t>Sandals</t>
  </si>
  <si>
    <t>East</t>
  </si>
  <si>
    <t>Clothing</t>
  </si>
  <si>
    <t>Hoodies</t>
  </si>
  <si>
    <t>North</t>
  </si>
  <si>
    <t>T-Shirts</t>
  </si>
  <si>
    <t>Barranquilla</t>
  </si>
  <si>
    <t>Pants</t>
  </si>
  <si>
    <t>feb</t>
  </si>
  <si>
    <t>mar</t>
  </si>
  <si>
    <t>abr</t>
  </si>
  <si>
    <t>may</t>
  </si>
  <si>
    <t>jun</t>
  </si>
  <si>
    <t>jul</t>
  </si>
  <si>
    <t>Etiquetas de fila</t>
  </si>
  <si>
    <t>Total general</t>
  </si>
  <si>
    <t>Total Sales</t>
  </si>
  <si>
    <t>Total Orders</t>
  </si>
  <si>
    <t>Average Order Value</t>
  </si>
  <si>
    <t>Total Quantity Sold</t>
  </si>
  <si>
    <t>Sales By Month</t>
  </si>
  <si>
    <t>Sales By Category</t>
  </si>
  <si>
    <t>Top 5 Products</t>
  </si>
  <si>
    <t>Avegare Sales By Month</t>
  </si>
  <si>
    <t>Sales By Payment Method</t>
  </si>
  <si>
    <t>Sales By Channel</t>
  </si>
  <si>
    <t>ene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</si>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</sst>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\ 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0" fontId="0" fillId="0" borderId="0" xfId="0" applyNumberFormat="1"/>
    <xf numFmtId="9" fontId="0" fillId="0" borderId="0" xfId="0" applyNumberFormat="1"/>
    <xf numFmtId="0" fontId="0" fillId="3" borderId="0" xfId="0" applyFill="1"/>
    <xf numFmtId="0" fontId="2" fillId="3" borderId="0" xfId="0" applyFont="1" applyFill="1"/>
    <xf numFmtId="0" fontId="0" fillId="0" borderId="0" xfId="0" applyNumberFormat="1"/>
  </cellXfs>
  <cellStyles count="1">
    <cellStyle name="Normal" xfId="0" builtinId="0"/>
  </cellStyles>
  <dxfs count="41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&quot;$&quot;\ #,##0"/>
    </dxf>
    <dxf>
      <numFmt numFmtId="164" formatCode="&quot;$&quot;\ #,##0"/>
    </dxf>
    <dxf>
      <numFmt numFmtId="19" formatCode="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sz val="16"/>
        <color theme="0"/>
        <name val="ADLaM Display"/>
        <scheme val="none"/>
      </font>
      <fill>
        <patternFill patternType="solid">
          <bgColor theme="3"/>
        </patternFill>
      </fill>
    </dxf>
    <dxf>
      <fill>
        <patternFill>
          <bgColor theme="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sz val="12"/>
        <color theme="0"/>
        <name val="Cambria"/>
        <family val="1"/>
        <scheme val="major"/>
      </font>
      <fill>
        <patternFill patternType="solid">
          <fgColor auto="1"/>
          <bgColor rgb="FF240E18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0"/>
        <name val="Cambria"/>
        <family val="1"/>
        <scheme val="major"/>
      </font>
      <fill>
        <gradientFill degree="90">
          <stop position="0">
            <color rgb="FF240E1B"/>
          </stop>
          <stop position="1">
            <color rgb="FFEE842C"/>
          </stop>
        </gradientFill>
      </fill>
    </dxf>
    <dxf>
      <font>
        <b/>
        <i val="0"/>
        <sz val="16"/>
        <color theme="0"/>
        <name val="Cambria"/>
        <family val="1"/>
        <scheme val="major"/>
      </font>
      <fill>
        <gradientFill degree="90">
          <stop position="0">
            <color rgb="FF240E1B"/>
          </stop>
          <stop position="1">
            <color rgb="FFD42520"/>
          </stop>
        </gradientFill>
      </fill>
    </dxf>
    <dxf>
      <fill>
        <gradientFill degree="270">
          <stop position="0">
            <color rgb="FFEE842C"/>
          </stop>
          <stop position="1">
            <color rgb="FFD42520"/>
          </stop>
        </gradient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3" defaultTableStyle="TableStyleMedium9" defaultPivotStyle="PivotStyleLight16">
    <tableStyle name="F_1" pivot="0" table="0" count="9" xr9:uid="{9BE85B07-EFD4-4F03-BD8F-760E0788B07A}">
      <tableStyleElement type="wholeTable" dxfId="40"/>
      <tableStyleElement type="headerRow" dxfId="39"/>
    </tableStyle>
    <tableStyle name="F_2" pivot="0" table="0" count="10" xr9:uid="{C058020F-7666-4E45-9AD8-E22A0BF2AF8B}">
      <tableStyleElement type="wholeTable" dxfId="38"/>
      <tableStyleElement type="headerRow" dxfId="37"/>
    </tableStyle>
    <tableStyle name="Opcion1" pivot="0" table="0" count="8" xr9:uid="{78C405E0-CA36-4BD8-A1F8-BCF160AF3A85}">
      <tableStyleElement type="wholeTable" dxfId="36"/>
      <tableStyleElement type="headerRow" dxfId="35"/>
    </tableStyle>
  </tableStyles>
  <colors>
    <mruColors>
      <color rgb="FFD42520"/>
      <color rgb="FF240E1B"/>
      <color rgb="FFEE842C"/>
      <color rgb="FF240E18"/>
      <color rgb="FF1F4E79"/>
      <color rgb="FFE6E6E6"/>
      <color rgb="FF787878"/>
    </mruColors>
  </colors>
  <extLst>
    <ext xmlns:x14="http://schemas.microsoft.com/office/spreadsheetml/2009/9/main" uri="{46F421CA-312F-682f-3DD2-61675219B42D}">
      <x14:dxfs count="14">
        <dxf>
          <font>
            <b/>
            <i val="0"/>
            <sz val="14"/>
            <color theme="0"/>
            <name val="ADLaM Display"/>
            <scheme val="none"/>
          </font>
          <fill>
            <patternFill>
              <bgColor theme="8" tint="-0.24994659260841701"/>
            </patternFill>
          </fill>
        </dxf>
        <dxf>
          <font>
            <b/>
            <i val="0"/>
            <sz val="14"/>
            <color theme="0"/>
            <name val="ADLaM Display"/>
            <scheme val="none"/>
          </font>
          <fill>
            <patternFill>
              <bgColor theme="8" tint="-0.24994659260841701"/>
            </patternFill>
          </fill>
        </dxf>
        <dxf>
          <font>
            <b/>
            <i val="0"/>
            <sz val="14"/>
            <color theme="0"/>
            <name val="ADLaM Display"/>
            <scheme val="none"/>
          </font>
          <fill>
            <patternFill>
              <fgColor auto="1"/>
              <bgColor theme="3" tint="0.39994506668294322"/>
            </patternFill>
          </fill>
        </dxf>
        <dxf>
          <font>
            <b/>
            <i val="0"/>
            <strike val="0"/>
            <sz val="14"/>
            <color theme="0"/>
            <name val="ADLaM Display"/>
            <scheme val="none"/>
          </font>
          <fill>
            <patternFill patternType="solid">
              <fgColor auto="1"/>
              <bgColor theme="3" tint="0.39988402966399123"/>
            </patternFill>
          </fill>
        </dxf>
        <dxf>
          <font>
            <b/>
            <i val="0"/>
            <strike val="0"/>
            <sz val="14"/>
            <color theme="0"/>
            <name val="ADLaM Display"/>
            <scheme val="none"/>
          </font>
          <fill>
            <patternFill>
              <bgColor theme="3" tint="0.59996337778862885"/>
            </patternFill>
          </fill>
        </dxf>
        <dxf>
          <font>
            <b/>
            <i val="0"/>
            <sz val="14"/>
            <color theme="0"/>
            <name val="ADLaM Display"/>
            <scheme val="none"/>
          </font>
          <fill>
            <patternFill>
              <fgColor auto="1"/>
              <bgColor theme="3" tint="0.59996337778862885"/>
            </patternFill>
          </fill>
        </dxf>
        <dxf>
          <fill>
            <patternFill>
              <bgColor theme="0" tint="-0.24994659260841701"/>
            </patternFill>
          </fill>
        </dxf>
        <dxf>
          <font>
            <b val="0"/>
            <i val="0"/>
            <sz val="11"/>
            <name val="Cambria"/>
            <family val="1"/>
            <scheme val="major"/>
          </font>
          <fill>
            <patternFill>
              <bgColor rgb="FFD42520"/>
            </patternFill>
          </fill>
        </dxf>
        <dxf>
          <font>
            <b/>
            <i val="0"/>
            <sz val="11"/>
            <color theme="0"/>
            <name val="Cambria"/>
            <family val="1"/>
            <scheme val="major"/>
          </font>
          <fill>
            <gradientFill degree="90">
              <stop position="0">
                <color rgb="FF240E1B"/>
              </stop>
              <stop position="1">
                <color rgb="FFD42520"/>
              </stop>
            </gradientFill>
          </fill>
        </dxf>
        <dxf>
          <font>
            <sz val="11"/>
            <color theme="0"/>
            <name val="Cambria"/>
            <family val="1"/>
            <scheme val="major"/>
          </font>
          <fill>
            <gradientFill degree="90">
              <stop position="0">
                <color rgb="FF240E1B"/>
              </stop>
              <stop position="1">
                <color rgb="FFEE842C"/>
              </stop>
            </gradientFill>
          </fill>
        </dxf>
        <dxf>
          <fill>
            <patternFill>
              <bgColor theme="0" tint="-0.24994659260841701"/>
            </patternFill>
          </fill>
        </dxf>
        <dxf>
          <font>
            <b/>
            <i val="0"/>
            <sz val="11"/>
            <color theme="0"/>
            <name val="Cambria"/>
            <family val="1"/>
            <scheme val="major"/>
          </font>
          <fill>
            <gradientFill degree="90">
              <stop position="0">
                <color rgb="FFD42520"/>
              </stop>
              <stop position="1">
                <color rgb="FFEE842C"/>
              </stop>
            </gradientFill>
          </fill>
        </dxf>
        <dxf>
          <font>
            <sz val="11"/>
            <name val="Cambria"/>
            <family val="1"/>
            <scheme val="major"/>
          </font>
          <fill>
            <patternFill>
              <bgColor rgb="FFD42520"/>
            </patternFill>
          </fill>
        </dxf>
        <dxf>
          <font>
            <sz val="11"/>
            <color theme="0"/>
            <name val="Cambria"/>
            <family val="1"/>
            <scheme val="major"/>
          </font>
          <fill>
            <gradientFill degree="90">
              <stop position="0">
                <color rgb="FFD42520"/>
              </stop>
              <stop position="1">
                <color rgb="FF240E1B"/>
              </stop>
            </gradient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F_2">
          <x14:slicerStyleElements>
            <x14:slicerStyleElement type="unselectedItemWithData" dxfId="13"/>
            <x14:slicerStyleElement type="unselectedItemWithNoData" dxfId="12"/>
            <x14:slicerStyleElement type="selectedItemWithData" dxfId="11"/>
            <x14:slicerStyleElement type="selectedItemWithNoData" dxfId="10"/>
            <x14:slicerStyleElement type="hoveredUnselectedItemWithData" dxfId="9"/>
            <x14:slicerStyleElement type="hoveredSelectedItemWithData" dxfId="8"/>
            <x14:slicerStyleElement type="hoveredUnselectedItemWithNoData" dxfId="7"/>
            <x14:slicerStyleElement type="hoveredSelectedItemWithNoData" dxfId="6"/>
          </x14:slicerStyleElements>
        </x14:slicerStyle>
        <x14:slicerStyle name="Opcion1">
          <x14:slicerStyleElements>
            <x14:slicerStyleElement type="unselectedItemWithData" dxfId="5"/>
            <x14:slicerStyleElement type="unselectedItemWithNoData" dxfId="4"/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gradientFill degree="270">
              <stop position="0">
                <color rgb="FFD42520"/>
              </stop>
              <stop position="1">
                <color rgb="FF240E1B"/>
              </stop>
            </gradientFill>
          </fill>
        </dxf>
        <dxf>
          <fill>
            <patternFill patternType="solid">
              <fgColor theme="0" tint="-0.14996795556505021"/>
              <bgColor theme="0" tint="-0.24994659260841701"/>
            </patternFill>
          </fill>
          <border>
            <left style="thin">
              <color rgb="FFD42520"/>
            </left>
            <right style="thin">
              <color rgb="FFD42520"/>
            </right>
            <top style="thin">
              <color rgb="FFD42520"/>
            </top>
            <bottom style="thin">
              <color rgb="FFD42520"/>
            </bottom>
          </border>
        </dxf>
        <dxf>
          <fill>
            <patternFill patternType="solid">
              <fgColor theme="0"/>
              <bgColor rgb="FFD42520"/>
            </patternFill>
          </fill>
          <border>
            <left style="thin">
              <color rgb="FF240E1B"/>
            </left>
            <right style="thin">
              <color rgb="FF240E1B"/>
            </right>
            <top style="thin">
              <color rgb="FF240E1B"/>
            </top>
            <bottom style="thin">
              <color rgb="FF240E1B"/>
            </bottom>
          </border>
        </dxf>
        <dxf>
          <font>
            <b/>
            <i val="0"/>
            <sz val="12"/>
            <color theme="0"/>
            <name val="Cambria"/>
            <family val="1"/>
            <scheme val="major"/>
          </font>
        </dxf>
        <dxf>
          <font>
            <sz val="14"/>
            <color theme="0"/>
            <name val="Cambria"/>
            <family val="1"/>
            <scheme val="major"/>
          </font>
        </dxf>
        <dxf>
          <font>
            <b/>
            <i val="0"/>
            <sz val="14"/>
            <color theme="0"/>
            <name val="Cambria"/>
            <family val="1"/>
            <scheme val="major"/>
          </font>
        </dxf>
        <dxf>
          <font>
            <b/>
            <i val="0"/>
            <sz val="14"/>
            <color theme="0"/>
            <name val="Cambria"/>
            <family val="1"/>
            <scheme val="maj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F_1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schemas.microsoft.com/office/2011/relationships/timelineCache" Target="timelineCaches/timelineCach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[sales_data_analysis.xlsx]Analysis !TablaDinámica4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$&quot;\ #,##0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$&quot;\ #,##0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rgbClr val="1F4E79"/>
            </a:solidFill>
            <a:round/>
          </a:ln>
          <a:effectLst/>
        </c:spPr>
        <c:marker>
          <c:symbol val="triangle"/>
          <c:size val="10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&quot;$&quot;\ #,##0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'!$O$4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1F4E79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&quot;$&quot;\ #,##0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'!$N$5:$N$17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'Analysis '!$O$5:$O$17</c:f>
              <c:numCache>
                <c:formatCode>"$"\ #,##0</c:formatCode>
                <c:ptCount val="12"/>
                <c:pt idx="0">
                  <c:v>13601</c:v>
                </c:pt>
                <c:pt idx="1">
                  <c:v>14110</c:v>
                </c:pt>
                <c:pt idx="2">
                  <c:v>20541</c:v>
                </c:pt>
                <c:pt idx="3">
                  <c:v>11802</c:v>
                </c:pt>
                <c:pt idx="4">
                  <c:v>14341</c:v>
                </c:pt>
                <c:pt idx="5">
                  <c:v>14077</c:v>
                </c:pt>
                <c:pt idx="6">
                  <c:v>14266</c:v>
                </c:pt>
                <c:pt idx="7">
                  <c:v>15231</c:v>
                </c:pt>
                <c:pt idx="8">
                  <c:v>15546</c:v>
                </c:pt>
                <c:pt idx="9">
                  <c:v>16420</c:v>
                </c:pt>
                <c:pt idx="10">
                  <c:v>15013</c:v>
                </c:pt>
                <c:pt idx="11">
                  <c:v>16386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8-41C4-8082-5F7292B32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513856"/>
        <c:axId val="1482524896"/>
      </c:lineChart>
      <c:catAx>
        <c:axId val="148251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482524896"/>
        <c:crosses val="autoZero"/>
        <c:auto val="1"/>
        <c:lblAlgn val="ctr"/>
        <c:lblOffset val="100"/>
        <c:noMultiLvlLbl val="0"/>
      </c:catAx>
      <c:valAx>
        <c:axId val="1482524896"/>
        <c:scaling>
          <c:orientation val="minMax"/>
        </c:scaling>
        <c:delete val="1"/>
        <c:axPos val="l"/>
        <c:numFmt formatCode="&quot;$&quot;\ #,##0" sourceLinked="1"/>
        <c:majorTickMark val="none"/>
        <c:minorTickMark val="none"/>
        <c:tickLblPos val="nextTo"/>
        <c:crossAx val="148251385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[sales_data_analysis.xlsx]Analysis !TablaDinámica5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27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D42520"/>
          </a:solidFill>
          <a:ln w="12700">
            <a:solidFill>
              <a:schemeClr val="bg1"/>
            </a:solidFill>
          </a:ln>
          <a:effectLst/>
        </c:spPr>
      </c:pivotFmt>
      <c:pivotFmt>
        <c:idx val="7"/>
        <c:spPr>
          <a:solidFill>
            <a:srgbClr val="EE842C"/>
          </a:solidFill>
          <a:ln w="12700">
            <a:solidFill>
              <a:schemeClr val="bg1"/>
            </a:solidFill>
          </a:ln>
          <a:effectLst/>
        </c:spPr>
      </c:pivotFmt>
      <c:pivotFmt>
        <c:idx val="8"/>
        <c:spPr>
          <a:solidFill>
            <a:srgbClr val="240E1B"/>
          </a:solidFill>
          <a:ln w="12700"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'Analysis '!$S$4</c:f>
              <c:strCache>
                <c:ptCount val="1"/>
                <c:pt idx="0">
                  <c:v>Total</c:v>
                </c:pt>
              </c:strCache>
            </c:strRef>
          </c:tx>
          <c:spPr>
            <a:ln w="127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D42520"/>
              </a:soli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FB-490A-864A-F99BC6278B6A}"/>
              </c:ext>
            </c:extLst>
          </c:dPt>
          <c:dPt>
            <c:idx val="1"/>
            <c:bubble3D val="0"/>
            <c:spPr>
              <a:solidFill>
                <a:srgbClr val="EE842C"/>
              </a:soli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FB-490A-864A-F99BC6278B6A}"/>
              </c:ext>
            </c:extLst>
          </c:dPt>
          <c:dPt>
            <c:idx val="2"/>
            <c:bubble3D val="0"/>
            <c:spPr>
              <a:solidFill>
                <a:srgbClr val="240E1B"/>
              </a:soli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FB-490A-864A-F99BC6278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'!$R$5:$R$8</c:f>
              <c:strCache>
                <c:ptCount val="3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</c:strCache>
            </c:strRef>
          </c:cat>
          <c:val>
            <c:numRef>
              <c:f>'Analysis '!$S$5:$S$8</c:f>
              <c:numCache>
                <c:formatCode>0%</c:formatCode>
                <c:ptCount val="3"/>
                <c:pt idx="0">
                  <c:v>0.32168815555825164</c:v>
                </c:pt>
                <c:pt idx="1">
                  <c:v>0.34740313454729949</c:v>
                </c:pt>
                <c:pt idx="2">
                  <c:v>0.33090870989444893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FB-490A-864A-F99BC6278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j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[sales_data_analysis.xlsx]Analysis !TablaDinámica6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4E79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numFmt formatCode="&quot;$&quot;\ #,##0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'!$W$4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4E79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&quot;$&quot;\ #,##0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'!$V$5:$V$14</c:f>
              <c:strCache>
                <c:ptCount val="9"/>
                <c:pt idx="0">
                  <c:v>Caps</c:v>
                </c:pt>
                <c:pt idx="1">
                  <c:v>Sneakers</c:v>
                </c:pt>
                <c:pt idx="2">
                  <c:v>Running Shoes</c:v>
                </c:pt>
                <c:pt idx="3">
                  <c:v>T-Shirts</c:v>
                </c:pt>
                <c:pt idx="4">
                  <c:v>Socks</c:v>
                </c:pt>
                <c:pt idx="5">
                  <c:v>Backpacks</c:v>
                </c:pt>
                <c:pt idx="6">
                  <c:v>Pants</c:v>
                </c:pt>
                <c:pt idx="7">
                  <c:v>Hoodies</c:v>
                </c:pt>
                <c:pt idx="8">
                  <c:v>Sandals</c:v>
                </c:pt>
              </c:strCache>
            </c:strRef>
          </c:cat>
          <c:val>
            <c:numRef>
              <c:f>'Analysis '!$W$5:$W$14</c:f>
              <c:numCache>
                <c:formatCode>"$"\ #,##0</c:formatCode>
                <c:ptCount val="9"/>
                <c:pt idx="0">
                  <c:v>17731</c:v>
                </c:pt>
                <c:pt idx="1">
                  <c:v>17810</c:v>
                </c:pt>
                <c:pt idx="2">
                  <c:v>18003</c:v>
                </c:pt>
                <c:pt idx="3">
                  <c:v>18054</c:v>
                </c:pt>
                <c:pt idx="4">
                  <c:v>20079</c:v>
                </c:pt>
                <c:pt idx="5">
                  <c:v>20523</c:v>
                </c:pt>
                <c:pt idx="6">
                  <c:v>22218</c:v>
                </c:pt>
                <c:pt idx="7">
                  <c:v>22724</c:v>
                </c:pt>
                <c:pt idx="8">
                  <c:v>24192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8-4662-A6D6-9FACD86A1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4026752"/>
        <c:axId val="33980192"/>
      </c:barChart>
      <c:catAx>
        <c:axId val="34026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33980192"/>
        <c:crosses val="autoZero"/>
        <c:auto val="1"/>
        <c:lblAlgn val="ctr"/>
        <c:lblOffset val="100"/>
        <c:noMultiLvlLbl val="0"/>
      </c:catAx>
      <c:valAx>
        <c:axId val="33980192"/>
        <c:scaling>
          <c:orientation val="minMax"/>
        </c:scaling>
        <c:delete val="0"/>
        <c:axPos val="b"/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34026752"/>
        <c:crosses val="autoZero"/>
        <c:crossBetween val="between"/>
        <c:dispUnits>
          <c:builtInUnit val="thousands"/>
        </c:dispUnits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[sales_data_analysis.xlsx]Analysis !TablaDinámica8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27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D42520"/>
          </a:solidFill>
          <a:ln w="12700">
            <a:solidFill>
              <a:schemeClr val="bg1"/>
            </a:solidFill>
          </a:ln>
          <a:effectLst/>
        </c:spPr>
      </c:pivotFmt>
      <c:pivotFmt>
        <c:idx val="7"/>
        <c:spPr>
          <a:solidFill>
            <a:srgbClr val="EE842C"/>
          </a:solidFill>
          <a:ln w="12700">
            <a:solidFill>
              <a:schemeClr val="bg1"/>
            </a:solidFill>
          </a:ln>
          <a:effectLst/>
        </c:spPr>
      </c:pivotFmt>
      <c:pivotFmt>
        <c:idx val="8"/>
        <c:spPr>
          <a:solidFill>
            <a:srgbClr val="240E1B"/>
          </a:solidFill>
          <a:ln w="12700"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27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D42520"/>
          </a:solidFill>
          <a:ln w="12700">
            <a:solidFill>
              <a:schemeClr val="bg1"/>
            </a:solidFill>
          </a:ln>
          <a:effectLst/>
        </c:spPr>
      </c:pivotFmt>
      <c:pivotFmt>
        <c:idx val="11"/>
        <c:spPr>
          <a:solidFill>
            <a:srgbClr val="EE842C"/>
          </a:solidFill>
          <a:ln w="12700">
            <a:solidFill>
              <a:schemeClr val="bg1"/>
            </a:solidFill>
          </a:ln>
          <a:effectLst/>
        </c:spPr>
      </c:pivotFmt>
      <c:pivotFmt>
        <c:idx val="12"/>
        <c:spPr>
          <a:solidFill>
            <a:srgbClr val="240E1B"/>
          </a:solidFill>
          <a:ln w="12700"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27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D42520"/>
          </a:solidFill>
          <a:ln w="12700">
            <a:solidFill>
              <a:schemeClr val="bg1"/>
            </a:solidFill>
          </a:ln>
          <a:effectLst/>
        </c:spPr>
      </c:pivotFmt>
      <c:pivotFmt>
        <c:idx val="15"/>
        <c:spPr>
          <a:solidFill>
            <a:srgbClr val="EE842C"/>
          </a:solidFill>
          <a:ln w="12700">
            <a:solidFill>
              <a:schemeClr val="bg1"/>
            </a:solidFill>
          </a:ln>
          <a:effectLst/>
        </c:spPr>
      </c:pivotFmt>
      <c:pivotFmt>
        <c:idx val="16"/>
        <c:spPr>
          <a:solidFill>
            <a:srgbClr val="240E1B"/>
          </a:solidFill>
          <a:ln w="12700">
            <a:solidFill>
              <a:schemeClr val="bg1"/>
            </a:solidFill>
          </a:ln>
          <a:effectLst/>
        </c:spPr>
      </c:pivotFmt>
      <c:pivotFmt>
        <c:idx val="17"/>
        <c:spPr>
          <a:ln w="12700">
            <a:solidFill>
              <a:schemeClr val="bg1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D42520"/>
          </a:solidFill>
          <a:ln w="12700">
            <a:solidFill>
              <a:schemeClr val="bg1"/>
            </a:solidFill>
          </a:ln>
          <a:effectLst/>
        </c:spPr>
      </c:pivotFmt>
      <c:pivotFmt>
        <c:idx val="19"/>
        <c:spPr>
          <a:solidFill>
            <a:srgbClr val="EE842C"/>
          </a:solidFill>
          <a:ln w="12700"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'Analysis '!$AE$4</c:f>
              <c:strCache>
                <c:ptCount val="1"/>
                <c:pt idx="0">
                  <c:v>Total</c:v>
                </c:pt>
              </c:strCache>
            </c:strRef>
          </c:tx>
          <c:spPr>
            <a:ln w="127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D42520"/>
              </a:soli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FA-454A-AC5A-9B7F90FA9AF5}"/>
              </c:ext>
            </c:extLst>
          </c:dPt>
          <c:dPt>
            <c:idx val="1"/>
            <c:bubble3D val="0"/>
            <c:spPr>
              <a:solidFill>
                <a:srgbClr val="EE842C"/>
              </a:soli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BFA-454A-AC5A-9B7F90FA9AF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B-9BFA-454A-AC5A-9B7F90FA9A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'!$AD$5:$AD$7</c:f>
              <c:strCache>
                <c:ptCount val="2"/>
                <c:pt idx="0">
                  <c:v>Online</c:v>
                </c:pt>
                <c:pt idx="1">
                  <c:v>Store</c:v>
                </c:pt>
              </c:strCache>
            </c:strRef>
          </c:cat>
          <c:val>
            <c:numRef>
              <c:f>'Analysis '!$AE$5:$AE$7</c:f>
              <c:numCache>
                <c:formatCode>0.00%</c:formatCode>
                <c:ptCount val="2"/>
                <c:pt idx="0">
                  <c:v>0.52162859695368768</c:v>
                </c:pt>
                <c:pt idx="1">
                  <c:v>0.47837140304631232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BFA-454A-AC5A-9B7F90FA9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0"/>
      </c:doughnut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j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[sales_data_analysis.xlsx]Analysis !TablaDinámica7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4E79"/>
          </a:solidFill>
          <a:ln w="254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numFmt formatCode="&quot;$&quot;\ #,##0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'!$AA$4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4E79"/>
            </a:solidFill>
            <a:ln w="25400">
              <a:solidFill>
                <a:schemeClr val="bg1"/>
              </a:solidFill>
            </a:ln>
            <a:effectLst/>
          </c:spPr>
          <c:invertIfNegative val="0"/>
          <c:dLbls>
            <c:numFmt formatCode="&quot;$&quot;\ #,##0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'!$Z$5:$Z$9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Transfer</c:v>
                </c:pt>
              </c:strCache>
            </c:strRef>
          </c:cat>
          <c:val>
            <c:numRef>
              <c:f>'Analysis '!$AA$5:$AA$9</c:f>
              <c:numCache>
                <c:formatCode>"$"\ #,##0</c:formatCode>
                <c:ptCount val="4"/>
                <c:pt idx="0">
                  <c:v>41353</c:v>
                </c:pt>
                <c:pt idx="1">
                  <c:v>47846</c:v>
                </c:pt>
                <c:pt idx="2">
                  <c:v>48722</c:v>
                </c:pt>
                <c:pt idx="3">
                  <c:v>43413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1-45F2-95F4-BCFF0F41C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86226656"/>
        <c:axId val="886227136"/>
      </c:barChart>
      <c:catAx>
        <c:axId val="88622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886227136"/>
        <c:crosses val="autoZero"/>
        <c:auto val="1"/>
        <c:lblAlgn val="ctr"/>
        <c:lblOffset val="100"/>
        <c:noMultiLvlLbl val="0"/>
      </c:catAx>
      <c:valAx>
        <c:axId val="886227136"/>
        <c:scaling>
          <c:orientation val="minMax"/>
        </c:scaling>
        <c:delete val="1"/>
        <c:axPos val="l"/>
        <c:numFmt formatCode="&quot;$&quot;\ #,##0" sourceLinked="1"/>
        <c:majorTickMark val="out"/>
        <c:minorTickMark val="none"/>
        <c:tickLblPos val="nextTo"/>
        <c:crossAx val="88622665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2.xml"/><Relationship Id="rId17" Type="http://schemas.openxmlformats.org/officeDocument/2006/relationships/image" Target="../media/image12.svg"/><Relationship Id="rId2" Type="http://schemas.openxmlformats.org/officeDocument/2006/relationships/image" Target="../media/image2.svg"/><Relationship Id="rId16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1.xml"/><Relationship Id="rId5" Type="http://schemas.openxmlformats.org/officeDocument/2006/relationships/image" Target="../media/image5.png"/><Relationship Id="rId15" Type="http://schemas.openxmlformats.org/officeDocument/2006/relationships/chart" Target="../charts/chart5.xml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114300</xdr:rowOff>
    </xdr:from>
    <xdr:to>
      <xdr:col>7</xdr:col>
      <xdr:colOff>95250</xdr:colOff>
      <xdr:row>6</xdr:row>
      <xdr:rowOff>57150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200E4D57-2F5D-547F-3B00-7BF4CECEA487}"/>
            </a:ext>
          </a:extLst>
        </xdr:cNvPr>
        <xdr:cNvSpPr/>
      </xdr:nvSpPr>
      <xdr:spPr>
        <a:xfrm>
          <a:off x="304800" y="114300"/>
          <a:ext cx="5867400" cy="990600"/>
        </a:xfrm>
        <a:prstGeom prst="roundRect">
          <a:avLst/>
        </a:prstGeom>
        <a:gradFill flip="none" rotWithShape="1">
          <a:gsLst>
            <a:gs pos="0">
              <a:srgbClr val="EE842C"/>
            </a:gs>
            <a:gs pos="60000">
              <a:srgbClr val="D42520"/>
            </a:gs>
            <a:gs pos="100000">
              <a:srgbClr val="240E1B"/>
            </a:gs>
          </a:gsLst>
          <a:lin ang="13500000" scaled="1"/>
          <a:tileRect/>
        </a:gradFill>
        <a:ln>
          <a:noFill/>
        </a:ln>
        <a:effectLst>
          <a:innerShdw blurRad="63500" dist="50800" dir="2700000">
            <a:schemeClr val="bg1">
              <a:alpha val="60000"/>
            </a:scheme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333375</xdr:colOff>
      <xdr:row>0</xdr:row>
      <xdr:rowOff>114300</xdr:rowOff>
    </xdr:from>
    <xdr:to>
      <xdr:col>11</xdr:col>
      <xdr:colOff>295275</xdr:colOff>
      <xdr:row>6</xdr:row>
      <xdr:rowOff>57150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6E62B12C-B7A0-8375-9FA2-C88F4019393D}"/>
            </a:ext>
          </a:extLst>
        </xdr:cNvPr>
        <xdr:cNvSpPr/>
      </xdr:nvSpPr>
      <xdr:spPr>
        <a:xfrm>
          <a:off x="6412442" y="114300"/>
          <a:ext cx="2400300" cy="1026583"/>
        </a:xfrm>
        <a:prstGeom prst="roundRect">
          <a:avLst/>
        </a:prstGeom>
        <a:gradFill flip="none" rotWithShape="1">
          <a:gsLst>
            <a:gs pos="0">
              <a:srgbClr val="EE842C"/>
            </a:gs>
            <a:gs pos="60000">
              <a:srgbClr val="D42520"/>
            </a:gs>
            <a:gs pos="100000">
              <a:srgbClr val="240E1B"/>
            </a:gs>
          </a:gsLst>
          <a:lin ang="13500000" scaled="1"/>
          <a:tileRect/>
        </a:gradFill>
        <a:ln>
          <a:noFill/>
        </a:ln>
        <a:effectLst>
          <a:innerShdw blurRad="63500" dist="50800" dir="2700000">
            <a:schemeClr val="bg1">
              <a:alpha val="60000"/>
            </a:scheme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CO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428625</xdr:colOff>
      <xdr:row>0</xdr:row>
      <xdr:rowOff>142875</xdr:rowOff>
    </xdr:from>
    <xdr:to>
      <xdr:col>6</xdr:col>
      <xdr:colOff>485775</xdr:colOff>
      <xdr:row>6</xdr:row>
      <xdr:rowOff>19050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95579821-9C5B-0DF0-F352-B9A5D90A8D37}"/>
            </a:ext>
          </a:extLst>
        </xdr:cNvPr>
        <xdr:cNvSpPr txBox="1"/>
      </xdr:nvSpPr>
      <xdr:spPr>
        <a:xfrm>
          <a:off x="1352550" y="142875"/>
          <a:ext cx="4600575" cy="923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200" b="1">
              <a:solidFill>
                <a:schemeClr val="bg1"/>
              </a:solidFill>
              <a:latin typeface="+mj-lt"/>
            </a:rPr>
            <a:t>Dashboard - Sales Data</a:t>
          </a:r>
        </a:p>
      </xdr:txBody>
    </xdr:sp>
    <xdr:clientData/>
  </xdr:twoCellAnchor>
  <xdr:twoCellAnchor editAs="oneCell">
    <xdr:from>
      <xdr:col>0</xdr:col>
      <xdr:colOff>457200</xdr:colOff>
      <xdr:row>0</xdr:row>
      <xdr:rowOff>114300</xdr:rowOff>
    </xdr:from>
    <xdr:to>
      <xdr:col>1</xdr:col>
      <xdr:colOff>447675</xdr:colOff>
      <xdr:row>5</xdr:row>
      <xdr:rowOff>161925</xdr:rowOff>
    </xdr:to>
    <xdr:pic>
      <xdr:nvPicPr>
        <xdr:cNvPr id="22" name="Gráfico 21" descr="Presentación con organigrama con relleno sólido">
          <a:extLst>
            <a:ext uri="{FF2B5EF4-FFF2-40B4-BE49-F238E27FC236}">
              <a16:creationId xmlns:a16="http://schemas.microsoft.com/office/drawing/2014/main" id="{49428C18-3C4E-1F01-F9B6-13D60E2BB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7200" y="114300"/>
          <a:ext cx="914400" cy="914400"/>
        </a:xfrm>
        <a:prstGeom prst="rect">
          <a:avLst/>
        </a:prstGeom>
      </xdr:spPr>
    </xdr:pic>
    <xdr:clientData/>
  </xdr:twoCellAnchor>
  <xdr:twoCellAnchor>
    <xdr:from>
      <xdr:col>8</xdr:col>
      <xdr:colOff>496359</xdr:colOff>
      <xdr:row>0</xdr:row>
      <xdr:rowOff>142875</xdr:rowOff>
    </xdr:from>
    <xdr:to>
      <xdr:col>11</xdr:col>
      <xdr:colOff>304800</xdr:colOff>
      <xdr:row>3</xdr:row>
      <xdr:rowOff>8467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801CF03E-F9B4-9A53-0046-7DCFCF455842}"/>
            </a:ext>
          </a:extLst>
        </xdr:cNvPr>
        <xdr:cNvSpPr txBox="1"/>
      </xdr:nvSpPr>
      <xdr:spPr>
        <a:xfrm>
          <a:off x="7185026" y="142875"/>
          <a:ext cx="1637241" cy="398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CO" sz="1600" b="1">
              <a:solidFill>
                <a:schemeClr val="bg1"/>
              </a:solidFill>
              <a:latin typeface="+mj-lt"/>
            </a:rPr>
            <a:t>Total</a:t>
          </a:r>
          <a:r>
            <a:rPr lang="es-CO" sz="1600" b="1" baseline="0">
              <a:solidFill>
                <a:schemeClr val="bg1"/>
              </a:solidFill>
              <a:latin typeface="+mj-lt"/>
            </a:rPr>
            <a:t> Sales:</a:t>
          </a:r>
          <a:endParaRPr lang="es-CO" sz="1600" b="1">
            <a:solidFill>
              <a:schemeClr val="bg1"/>
            </a:solidFill>
            <a:latin typeface="+mj-lt"/>
          </a:endParaRPr>
        </a:p>
      </xdr:txBody>
    </xdr:sp>
    <xdr:clientData/>
  </xdr:twoCellAnchor>
  <xdr:twoCellAnchor>
    <xdr:from>
      <xdr:col>8</xdr:col>
      <xdr:colOff>254001</xdr:colOff>
      <xdr:row>2</xdr:row>
      <xdr:rowOff>125940</xdr:rowOff>
    </xdr:from>
    <xdr:to>
      <xdr:col>11</xdr:col>
      <xdr:colOff>270933</xdr:colOff>
      <xdr:row>5</xdr:row>
      <xdr:rowOff>177798</xdr:rowOff>
    </xdr:to>
    <xdr:sp macro="" textlink="'Analysis '!C5">
      <xdr:nvSpPr>
        <xdr:cNvPr id="26" name="CuadroTexto 25">
          <a:extLst>
            <a:ext uri="{FF2B5EF4-FFF2-40B4-BE49-F238E27FC236}">
              <a16:creationId xmlns:a16="http://schemas.microsoft.com/office/drawing/2014/main" id="{07FDB677-7FF6-6411-524F-EF10D9D0BA24}"/>
            </a:ext>
          </a:extLst>
        </xdr:cNvPr>
        <xdr:cNvSpPr txBox="1"/>
      </xdr:nvSpPr>
      <xdr:spPr>
        <a:xfrm>
          <a:off x="6942668" y="481540"/>
          <a:ext cx="1845732" cy="593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DA6FA87-4252-4C77-84C7-3B7E2C70C0B9}" type="TxLink">
            <a:rPr lang="en-US" sz="2800" b="1" i="0" u="none">
              <a:solidFill>
                <a:schemeClr val="bg1"/>
              </a:solidFill>
              <a:latin typeface="+mj-lt"/>
              <a:ea typeface="+mn-ea"/>
              <a:cs typeface="+mn-cs"/>
            </a:rPr>
            <a:pPr marL="0" indent="0" algn="ctr"/>
            <a:t>$ 181.334</a:t>
          </a:fld>
          <a:endParaRPr lang="es-CO" sz="2800" b="1" i="0" u="none">
            <a:solidFill>
              <a:schemeClr val="bg1"/>
            </a:solidFill>
            <a:latin typeface="+mj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364067</xdr:colOff>
      <xdr:row>0</xdr:row>
      <xdr:rowOff>76200</xdr:rowOff>
    </xdr:from>
    <xdr:to>
      <xdr:col>8</xdr:col>
      <xdr:colOff>414866</xdr:colOff>
      <xdr:row>4</xdr:row>
      <xdr:rowOff>25399</xdr:rowOff>
    </xdr:to>
    <xdr:pic>
      <xdr:nvPicPr>
        <xdr:cNvPr id="28" name="Gráfico 27" descr="Monedas con relleno sólido">
          <a:extLst>
            <a:ext uri="{FF2B5EF4-FFF2-40B4-BE49-F238E27FC236}">
              <a16:creationId xmlns:a16="http://schemas.microsoft.com/office/drawing/2014/main" id="{F9F0EDF4-E8CD-692A-560C-5A0DA8FF7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443134" y="76200"/>
          <a:ext cx="660399" cy="660399"/>
        </a:xfrm>
        <a:prstGeom prst="rect">
          <a:avLst/>
        </a:prstGeom>
      </xdr:spPr>
    </xdr:pic>
    <xdr:clientData/>
  </xdr:twoCellAnchor>
  <xdr:twoCellAnchor>
    <xdr:from>
      <xdr:col>16</xdr:col>
      <xdr:colOff>115358</xdr:colOff>
      <xdr:row>0</xdr:row>
      <xdr:rowOff>104775</xdr:rowOff>
    </xdr:from>
    <xdr:to>
      <xdr:col>20</xdr:col>
      <xdr:colOff>85725</xdr:colOff>
      <xdr:row>6</xdr:row>
      <xdr:rowOff>47625</xdr:rowOff>
    </xdr:to>
    <xdr:grpSp>
      <xdr:nvGrpSpPr>
        <xdr:cNvPr id="40" name="Grupo 39">
          <a:extLst>
            <a:ext uri="{FF2B5EF4-FFF2-40B4-BE49-F238E27FC236}">
              <a16:creationId xmlns:a16="http://schemas.microsoft.com/office/drawing/2014/main" id="{2B61E9FD-A254-C970-F6A4-EFFB16E3EF27}"/>
            </a:ext>
          </a:extLst>
        </xdr:cNvPr>
        <xdr:cNvGrpSpPr/>
      </xdr:nvGrpSpPr>
      <xdr:grpSpPr>
        <a:xfrm>
          <a:off x="11678708" y="104775"/>
          <a:ext cx="2408767" cy="990600"/>
          <a:chOff x="9040283" y="114300"/>
          <a:chExt cx="2408767" cy="990600"/>
        </a:xfrm>
      </xdr:grpSpPr>
      <xdr:sp macro="" textlink="">
        <xdr:nvSpPr>
          <xdr:cNvPr id="12" name="Rectángulo: esquinas redondeadas 11">
            <a:extLst>
              <a:ext uri="{FF2B5EF4-FFF2-40B4-BE49-F238E27FC236}">
                <a16:creationId xmlns:a16="http://schemas.microsoft.com/office/drawing/2014/main" id="{BF54BC64-0B9E-1C2E-8280-869280107DD5}"/>
              </a:ext>
            </a:extLst>
          </xdr:cNvPr>
          <xdr:cNvSpPr/>
        </xdr:nvSpPr>
        <xdr:spPr>
          <a:xfrm>
            <a:off x="9048750" y="114300"/>
            <a:ext cx="2400300" cy="990600"/>
          </a:xfrm>
          <a:prstGeom prst="roundRect">
            <a:avLst/>
          </a:prstGeom>
          <a:gradFill flip="none" rotWithShape="1">
            <a:gsLst>
              <a:gs pos="0">
                <a:srgbClr val="EE842C"/>
              </a:gs>
              <a:gs pos="60000">
                <a:srgbClr val="D42520"/>
              </a:gs>
              <a:gs pos="100000">
                <a:srgbClr val="240E1B"/>
              </a:gs>
            </a:gsLst>
            <a:lin ang="13500000" scaled="1"/>
            <a:tileRect/>
          </a:gradFill>
          <a:ln>
            <a:noFill/>
          </a:ln>
          <a:effectLst>
            <a:innerShdw blurRad="63500" dist="50800" dir="2700000">
              <a:schemeClr val="bg1">
                <a:alpha val="60000"/>
              </a:scheme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O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9" name="CuadroTexto 28">
            <a:extLst>
              <a:ext uri="{FF2B5EF4-FFF2-40B4-BE49-F238E27FC236}">
                <a16:creationId xmlns:a16="http://schemas.microsoft.com/office/drawing/2014/main" id="{94DDC684-98D6-BCA5-AEF0-A70C3B54A266}"/>
              </a:ext>
            </a:extLst>
          </xdr:cNvPr>
          <xdr:cNvSpPr txBox="1"/>
        </xdr:nvSpPr>
        <xdr:spPr>
          <a:xfrm>
            <a:off x="9807575" y="142875"/>
            <a:ext cx="1637241" cy="3799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s-CO" sz="1600" b="1">
                <a:solidFill>
                  <a:schemeClr val="bg1"/>
                </a:solidFill>
                <a:latin typeface="+mj-lt"/>
              </a:rPr>
              <a:t>Total</a:t>
            </a:r>
            <a:r>
              <a:rPr lang="es-CO" sz="1600" b="1" baseline="0">
                <a:solidFill>
                  <a:schemeClr val="bg1"/>
                </a:solidFill>
                <a:latin typeface="+mj-lt"/>
              </a:rPr>
              <a:t> Orders:</a:t>
            </a:r>
            <a:endParaRPr lang="es-CO" sz="1600" b="1">
              <a:solidFill>
                <a:schemeClr val="bg1"/>
              </a:solidFill>
              <a:latin typeface="+mj-lt"/>
            </a:endParaRPr>
          </a:p>
        </xdr:txBody>
      </xdr:sp>
      <xdr:sp macro="" textlink="'Analysis '!F5">
        <xdr:nvSpPr>
          <xdr:cNvPr id="30" name="CuadroTexto 29">
            <a:extLst>
              <a:ext uri="{FF2B5EF4-FFF2-40B4-BE49-F238E27FC236}">
                <a16:creationId xmlns:a16="http://schemas.microsoft.com/office/drawing/2014/main" id="{64F59C3C-E4BA-9703-A236-EAA690229478}"/>
              </a:ext>
            </a:extLst>
          </xdr:cNvPr>
          <xdr:cNvSpPr txBox="1"/>
        </xdr:nvSpPr>
        <xdr:spPr>
          <a:xfrm>
            <a:off x="9573685" y="468840"/>
            <a:ext cx="1845732" cy="5757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845C9DF5-03BF-4756-8BD9-E4377CB8E5C3}" type="TxLink">
              <a:rPr lang="en-US" sz="2800" b="1" i="0" u="none">
                <a:solidFill>
                  <a:schemeClr val="bg1"/>
                </a:solidFill>
                <a:latin typeface="+mj-lt"/>
                <a:ea typeface="+mn-ea"/>
                <a:cs typeface="+mn-cs"/>
              </a:rPr>
              <a:pPr marL="0" indent="0" algn="ctr"/>
              <a:t>720</a:t>
            </a:fld>
            <a:endParaRPr lang="es-CO" sz="2800" b="1" i="0" u="none">
              <a:solidFill>
                <a:schemeClr val="bg1"/>
              </a:solidFill>
              <a:latin typeface="+mj-lt"/>
              <a:ea typeface="+mn-ea"/>
              <a:cs typeface="+mn-cs"/>
            </a:endParaRPr>
          </a:p>
        </xdr:txBody>
      </xdr:sp>
      <xdr:pic>
        <xdr:nvPicPr>
          <xdr:cNvPr id="32" name="Gráfico 31" descr="Portapapeles con relleno sólido">
            <a:extLst>
              <a:ext uri="{FF2B5EF4-FFF2-40B4-BE49-F238E27FC236}">
                <a16:creationId xmlns:a16="http://schemas.microsoft.com/office/drawing/2014/main" id="{C028F638-3F05-07F2-A38D-F05BEB3D62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9040283" y="118533"/>
            <a:ext cx="914400" cy="883708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533400</xdr:colOff>
      <xdr:row>0</xdr:row>
      <xdr:rowOff>92073</xdr:rowOff>
    </xdr:from>
    <xdr:to>
      <xdr:col>15</xdr:col>
      <xdr:colOff>495300</xdr:colOff>
      <xdr:row>6</xdr:row>
      <xdr:rowOff>57150</xdr:rowOff>
    </xdr:to>
    <xdr:grpSp>
      <xdr:nvGrpSpPr>
        <xdr:cNvPr id="41" name="Grupo 40">
          <a:extLst>
            <a:ext uri="{FF2B5EF4-FFF2-40B4-BE49-F238E27FC236}">
              <a16:creationId xmlns:a16="http://schemas.microsoft.com/office/drawing/2014/main" id="{39B9F09D-8880-BD3B-AB83-27ABD6460725}"/>
            </a:ext>
          </a:extLst>
        </xdr:cNvPr>
        <xdr:cNvGrpSpPr/>
      </xdr:nvGrpSpPr>
      <xdr:grpSpPr>
        <a:xfrm>
          <a:off x="9048750" y="92073"/>
          <a:ext cx="2400300" cy="1012827"/>
          <a:chOff x="11668125" y="92073"/>
          <a:chExt cx="2400300" cy="1012827"/>
        </a:xfrm>
      </xdr:grpSpPr>
      <xdr:sp macro="" textlink="">
        <xdr:nvSpPr>
          <xdr:cNvPr id="13" name="Rectángulo: esquinas redondeadas 12">
            <a:extLst>
              <a:ext uri="{FF2B5EF4-FFF2-40B4-BE49-F238E27FC236}">
                <a16:creationId xmlns:a16="http://schemas.microsoft.com/office/drawing/2014/main" id="{402BD8E1-D65D-452E-7E78-CBE3199E87F1}"/>
              </a:ext>
            </a:extLst>
          </xdr:cNvPr>
          <xdr:cNvSpPr/>
        </xdr:nvSpPr>
        <xdr:spPr>
          <a:xfrm>
            <a:off x="11668125" y="114300"/>
            <a:ext cx="2400300" cy="990600"/>
          </a:xfrm>
          <a:prstGeom prst="roundRect">
            <a:avLst/>
          </a:prstGeom>
          <a:gradFill flip="none" rotWithShape="1">
            <a:gsLst>
              <a:gs pos="0">
                <a:srgbClr val="EE842C"/>
              </a:gs>
              <a:gs pos="60000">
                <a:srgbClr val="D42520"/>
              </a:gs>
              <a:gs pos="100000">
                <a:srgbClr val="240E1B"/>
              </a:gs>
            </a:gsLst>
            <a:lin ang="13500000" scaled="1"/>
            <a:tileRect/>
          </a:gradFill>
          <a:ln>
            <a:noFill/>
          </a:ln>
          <a:effectLst>
            <a:innerShdw blurRad="63500" dist="50800" dir="2700000">
              <a:schemeClr val="bg1">
                <a:alpha val="60000"/>
              </a:scheme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O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3" name="CuadroTexto 32">
            <a:extLst>
              <a:ext uri="{FF2B5EF4-FFF2-40B4-BE49-F238E27FC236}">
                <a16:creationId xmlns:a16="http://schemas.microsoft.com/office/drawing/2014/main" id="{3B4CB832-C345-0BBE-A53E-DF590B71A876}"/>
              </a:ext>
            </a:extLst>
          </xdr:cNvPr>
          <xdr:cNvSpPr txBox="1"/>
        </xdr:nvSpPr>
        <xdr:spPr>
          <a:xfrm>
            <a:off x="11766550" y="92073"/>
            <a:ext cx="2184398" cy="4984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s-CO" sz="1600" b="1">
                <a:solidFill>
                  <a:schemeClr val="bg1"/>
                </a:solidFill>
                <a:latin typeface="+mj-lt"/>
              </a:rPr>
              <a:t>Average</a:t>
            </a:r>
            <a:r>
              <a:rPr lang="es-CO" sz="1600" b="1" baseline="0">
                <a:solidFill>
                  <a:schemeClr val="bg1"/>
                </a:solidFill>
                <a:latin typeface="+mj-lt"/>
              </a:rPr>
              <a:t> Order Value:</a:t>
            </a:r>
            <a:endParaRPr lang="es-CO" sz="1600" b="1">
              <a:solidFill>
                <a:schemeClr val="bg1"/>
              </a:solidFill>
              <a:latin typeface="+mj-lt"/>
            </a:endParaRPr>
          </a:p>
        </xdr:txBody>
      </xdr:sp>
      <xdr:sp macro="" textlink="'Analysis '!H5">
        <xdr:nvSpPr>
          <xdr:cNvPr id="34" name="CuadroTexto 33">
            <a:extLst>
              <a:ext uri="{FF2B5EF4-FFF2-40B4-BE49-F238E27FC236}">
                <a16:creationId xmlns:a16="http://schemas.microsoft.com/office/drawing/2014/main" id="{CB5A1C23-8854-90C9-BE90-DEAD8D7EA99E}"/>
              </a:ext>
            </a:extLst>
          </xdr:cNvPr>
          <xdr:cNvSpPr txBox="1"/>
        </xdr:nvSpPr>
        <xdr:spPr>
          <a:xfrm>
            <a:off x="12198352" y="468840"/>
            <a:ext cx="1845732" cy="5757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4790DC6-4BB7-4063-B391-5301B615C819}" type="TxLink">
              <a:rPr lang="en-US" sz="2800" b="1" i="0" u="none">
                <a:solidFill>
                  <a:schemeClr val="bg1"/>
                </a:solidFill>
                <a:latin typeface="+mj-lt"/>
                <a:ea typeface="+mn-ea"/>
                <a:cs typeface="+mn-cs"/>
              </a:rPr>
              <a:pPr marL="0" indent="0" algn="ctr"/>
              <a:t>$ 252</a:t>
            </a:fld>
            <a:endParaRPr lang="es-CO" sz="2800" b="1" i="0" u="none">
              <a:solidFill>
                <a:schemeClr val="bg1"/>
              </a:solidFill>
              <a:latin typeface="+mj-lt"/>
              <a:ea typeface="+mn-ea"/>
              <a:cs typeface="+mn-cs"/>
            </a:endParaRPr>
          </a:p>
        </xdr:txBody>
      </xdr:sp>
      <xdr:pic>
        <xdr:nvPicPr>
          <xdr:cNvPr id="36" name="Gráfico 35" descr="Gráfico de barras con relleno sólido">
            <a:extLst>
              <a:ext uri="{FF2B5EF4-FFF2-40B4-BE49-F238E27FC236}">
                <a16:creationId xmlns:a16="http://schemas.microsoft.com/office/drawing/2014/main" id="{BCF6E4D3-BFF8-E995-4F46-3B61192A7F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1681884" y="298450"/>
            <a:ext cx="787400" cy="757767"/>
          </a:xfrm>
          <a:prstGeom prst="rect">
            <a:avLst/>
          </a:prstGeom>
        </xdr:spPr>
      </xdr:pic>
    </xdr:grpSp>
    <xdr:clientData/>
  </xdr:twoCellAnchor>
  <xdr:twoCellAnchor>
    <xdr:from>
      <xdr:col>20</xdr:col>
      <xdr:colOff>323850</xdr:colOff>
      <xdr:row>0</xdr:row>
      <xdr:rowOff>114300</xdr:rowOff>
    </xdr:from>
    <xdr:to>
      <xdr:col>24</xdr:col>
      <xdr:colOff>285750</xdr:colOff>
      <xdr:row>6</xdr:row>
      <xdr:rowOff>57150</xdr:rowOff>
    </xdr:to>
    <xdr:sp macro="" textlink="">
      <xdr:nvSpPr>
        <xdr:cNvPr id="37" name="Rectángulo: esquinas redondeadas 36">
          <a:extLst>
            <a:ext uri="{FF2B5EF4-FFF2-40B4-BE49-F238E27FC236}">
              <a16:creationId xmlns:a16="http://schemas.microsoft.com/office/drawing/2014/main" id="{551AB5C5-AE0C-2BA9-C44A-0406AB518B49}"/>
            </a:ext>
          </a:extLst>
        </xdr:cNvPr>
        <xdr:cNvSpPr/>
      </xdr:nvSpPr>
      <xdr:spPr>
        <a:xfrm>
          <a:off x="14325600" y="114300"/>
          <a:ext cx="2400300" cy="990600"/>
        </a:xfrm>
        <a:prstGeom prst="roundRect">
          <a:avLst/>
        </a:prstGeom>
        <a:gradFill flip="none" rotWithShape="1">
          <a:gsLst>
            <a:gs pos="0">
              <a:srgbClr val="EE842C"/>
            </a:gs>
            <a:gs pos="60000">
              <a:srgbClr val="D42520"/>
            </a:gs>
            <a:gs pos="100000">
              <a:srgbClr val="240E1B"/>
            </a:gs>
          </a:gsLst>
          <a:lin ang="13500000" scaled="1"/>
          <a:tileRect/>
        </a:gradFill>
        <a:ln>
          <a:noFill/>
        </a:ln>
        <a:effectLst>
          <a:innerShdw blurRad="63500" dist="50800" dir="2700000">
            <a:schemeClr val="bg1">
              <a:alpha val="60000"/>
            </a:scheme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CO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498475</xdr:colOff>
      <xdr:row>0</xdr:row>
      <xdr:rowOff>92073</xdr:rowOff>
    </xdr:from>
    <xdr:to>
      <xdr:col>24</xdr:col>
      <xdr:colOff>244473</xdr:colOff>
      <xdr:row>3</xdr:row>
      <xdr:rowOff>76202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C876DF4B-DD5E-38A2-1237-6086BD867755}"/>
            </a:ext>
          </a:extLst>
        </xdr:cNvPr>
        <xdr:cNvSpPr txBox="1"/>
      </xdr:nvSpPr>
      <xdr:spPr>
        <a:xfrm>
          <a:off x="14500225" y="92073"/>
          <a:ext cx="2184398" cy="4984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CO" sz="1600" b="1">
              <a:solidFill>
                <a:schemeClr val="bg1"/>
              </a:solidFill>
              <a:latin typeface="+mj-lt"/>
            </a:rPr>
            <a:t>Total Quantify Sold:</a:t>
          </a:r>
        </a:p>
      </xdr:txBody>
    </xdr:sp>
    <xdr:clientData/>
  </xdr:twoCellAnchor>
  <xdr:twoCellAnchor>
    <xdr:from>
      <xdr:col>21</xdr:col>
      <xdr:colOff>206377</xdr:colOff>
      <xdr:row>2</xdr:row>
      <xdr:rowOff>125940</xdr:rowOff>
    </xdr:from>
    <xdr:to>
      <xdr:col>24</xdr:col>
      <xdr:colOff>223309</xdr:colOff>
      <xdr:row>5</xdr:row>
      <xdr:rowOff>177798</xdr:rowOff>
    </xdr:to>
    <xdr:sp macro="" textlink="'Analysis '!L5">
      <xdr:nvSpPr>
        <xdr:cNvPr id="39" name="CuadroTexto 38">
          <a:extLst>
            <a:ext uri="{FF2B5EF4-FFF2-40B4-BE49-F238E27FC236}">
              <a16:creationId xmlns:a16="http://schemas.microsoft.com/office/drawing/2014/main" id="{01FF807E-7E7C-20A2-7495-4738B1532CF8}"/>
            </a:ext>
          </a:extLst>
        </xdr:cNvPr>
        <xdr:cNvSpPr txBox="1"/>
      </xdr:nvSpPr>
      <xdr:spPr>
        <a:xfrm>
          <a:off x="14817727" y="468840"/>
          <a:ext cx="1845732" cy="575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DD7D014-0D24-40C1-8B60-5F02DEBEFED6}" type="TxLink">
            <a:rPr lang="en-US" sz="2800" b="1" i="0" u="none">
              <a:solidFill>
                <a:schemeClr val="bg1"/>
              </a:solidFill>
              <a:latin typeface="+mj-lt"/>
              <a:ea typeface="+mn-ea"/>
              <a:cs typeface="+mn-cs"/>
            </a:rPr>
            <a:pPr marL="0" indent="0" algn="ctr"/>
            <a:t>2155</a:t>
          </a:fld>
          <a:endParaRPr lang="es-CO" sz="2800" b="1" i="0" u="none">
            <a:solidFill>
              <a:schemeClr val="bg1"/>
            </a:solidFill>
            <a:latin typeface="+mj-lt"/>
            <a:ea typeface="+mn-ea"/>
            <a:cs typeface="+mn-cs"/>
          </a:endParaRPr>
        </a:p>
      </xdr:txBody>
    </xdr:sp>
    <xdr:clientData/>
  </xdr:twoCellAnchor>
  <xdr:twoCellAnchor editAs="oneCell">
    <xdr:from>
      <xdr:col>20</xdr:col>
      <xdr:colOff>342900</xdr:colOff>
      <xdr:row>1</xdr:row>
      <xdr:rowOff>104775</xdr:rowOff>
    </xdr:from>
    <xdr:to>
      <xdr:col>21</xdr:col>
      <xdr:colOff>523875</xdr:colOff>
      <xdr:row>6</xdr:row>
      <xdr:rowOff>19050</xdr:rowOff>
    </xdr:to>
    <xdr:pic>
      <xdr:nvPicPr>
        <xdr:cNvPr id="43" name="Gráfico 42" descr="Inventario de búsqueda con relleno sólido">
          <a:extLst>
            <a:ext uri="{FF2B5EF4-FFF2-40B4-BE49-F238E27FC236}">
              <a16:creationId xmlns:a16="http://schemas.microsoft.com/office/drawing/2014/main" id="{CEFAF376-7126-A26E-5553-AD504FA7C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344650" y="276225"/>
          <a:ext cx="790575" cy="790575"/>
        </a:xfrm>
        <a:prstGeom prst="rect">
          <a:avLst/>
        </a:prstGeom>
      </xdr:spPr>
    </xdr:pic>
    <xdr:clientData/>
  </xdr:twoCellAnchor>
  <xdr:twoCellAnchor editAs="oneCell">
    <xdr:from>
      <xdr:col>0</xdr:col>
      <xdr:colOff>323849</xdr:colOff>
      <xdr:row>6</xdr:row>
      <xdr:rowOff>120014</xdr:rowOff>
    </xdr:from>
    <xdr:to>
      <xdr:col>6</xdr:col>
      <xdr:colOff>600074</xdr:colOff>
      <xdr:row>16</xdr:row>
      <xdr:rowOff>95251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5" name="Order_Date">
              <a:extLst>
                <a:ext uri="{FF2B5EF4-FFF2-40B4-BE49-F238E27FC236}">
                  <a16:creationId xmlns:a16="http://schemas.microsoft.com/office/drawing/2014/main" id="{7D053F19-787B-4583-EDD4-EFF424B6C9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849" y="1167764"/>
              <a:ext cx="5743575" cy="16992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0</xdr:col>
      <xdr:colOff>333375</xdr:colOff>
      <xdr:row>16</xdr:row>
      <xdr:rowOff>29479</xdr:rowOff>
    </xdr:from>
    <xdr:to>
      <xdr:col>7</xdr:col>
      <xdr:colOff>123825</xdr:colOff>
      <xdr:row>34</xdr:row>
      <xdr:rowOff>104777</xdr:rowOff>
    </xdr:to>
    <xdr:grpSp>
      <xdr:nvGrpSpPr>
        <xdr:cNvPr id="72" name="Grupo 71">
          <a:extLst>
            <a:ext uri="{FF2B5EF4-FFF2-40B4-BE49-F238E27FC236}">
              <a16:creationId xmlns:a16="http://schemas.microsoft.com/office/drawing/2014/main" id="{64AFAC87-8D31-0CA6-B283-5D7E7681BC4B}"/>
            </a:ext>
          </a:extLst>
        </xdr:cNvPr>
        <xdr:cNvGrpSpPr/>
      </xdr:nvGrpSpPr>
      <xdr:grpSpPr>
        <a:xfrm>
          <a:off x="333375" y="2801254"/>
          <a:ext cx="5867400" cy="3180448"/>
          <a:chOff x="304800" y="1114485"/>
          <a:chExt cx="5867400" cy="2914589"/>
        </a:xfrm>
      </xdr:grpSpPr>
      <xdr:sp macro="" textlink="">
        <xdr:nvSpPr>
          <xdr:cNvPr id="14" name="Rectángulo: esquinas redondeadas 13">
            <a:extLst>
              <a:ext uri="{FF2B5EF4-FFF2-40B4-BE49-F238E27FC236}">
                <a16:creationId xmlns:a16="http://schemas.microsoft.com/office/drawing/2014/main" id="{1A38B6B5-1D52-AFE7-7D1E-9D4120F88A54}"/>
              </a:ext>
            </a:extLst>
          </xdr:cNvPr>
          <xdr:cNvSpPr/>
        </xdr:nvSpPr>
        <xdr:spPr>
          <a:xfrm>
            <a:off x="304800" y="1262590"/>
            <a:ext cx="5867400" cy="2766484"/>
          </a:xfrm>
          <a:prstGeom prst="roundRect">
            <a:avLst/>
          </a:prstGeom>
          <a:gradFill flip="none" rotWithShape="1">
            <a:gsLst>
              <a:gs pos="0">
                <a:srgbClr val="EE842C"/>
              </a:gs>
              <a:gs pos="60000">
                <a:srgbClr val="D42520"/>
              </a:gs>
              <a:gs pos="100000">
                <a:srgbClr val="240E1B"/>
              </a:gs>
            </a:gsLst>
            <a:lin ang="13500000" scaled="1"/>
            <a:tileRect/>
          </a:gradFill>
          <a:ln>
            <a:noFill/>
          </a:ln>
          <a:effectLst>
            <a:innerShdw blurRad="63500" dist="50800" dir="2700000">
              <a:schemeClr val="bg1">
                <a:alpha val="60000"/>
              </a:scheme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O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44" name="Gráfico 43">
            <a:extLst>
              <a:ext uri="{FF2B5EF4-FFF2-40B4-BE49-F238E27FC236}">
                <a16:creationId xmlns:a16="http://schemas.microsoft.com/office/drawing/2014/main" id="{375AAD40-5670-44D1-9D9B-BC06C3522A30}"/>
              </a:ext>
            </a:extLst>
          </xdr:cNvPr>
          <xdr:cNvGraphicFramePr>
            <a:graphicFrameLocks/>
          </xdr:cNvGraphicFramePr>
        </xdr:nvGraphicFramePr>
        <xdr:xfrm>
          <a:off x="638175" y="2257425"/>
          <a:ext cx="5248275" cy="17240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46" name="CuadroTexto 45">
            <a:extLst>
              <a:ext uri="{FF2B5EF4-FFF2-40B4-BE49-F238E27FC236}">
                <a16:creationId xmlns:a16="http://schemas.microsoft.com/office/drawing/2014/main" id="{B4484AB5-CBC0-B97D-0EE7-8640F63EB54B}"/>
              </a:ext>
            </a:extLst>
          </xdr:cNvPr>
          <xdr:cNvSpPr txBox="1"/>
        </xdr:nvSpPr>
        <xdr:spPr>
          <a:xfrm>
            <a:off x="476249" y="1209675"/>
            <a:ext cx="2867025" cy="1066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CO" sz="3200" b="1">
                <a:solidFill>
                  <a:schemeClr val="bg1"/>
                </a:solidFill>
                <a:latin typeface="+mj-lt"/>
              </a:rPr>
              <a:t>Sales By Month</a:t>
            </a:r>
          </a:p>
        </xdr:txBody>
      </xdr:sp>
      <xdr:sp macro="" textlink="">
        <xdr:nvSpPr>
          <xdr:cNvPr id="48" name="CuadroTexto 47">
            <a:extLst>
              <a:ext uri="{FF2B5EF4-FFF2-40B4-BE49-F238E27FC236}">
                <a16:creationId xmlns:a16="http://schemas.microsoft.com/office/drawing/2014/main" id="{D5E9A65E-2EC2-A2EA-22BB-6E1B10DE6E01}"/>
              </a:ext>
            </a:extLst>
          </xdr:cNvPr>
          <xdr:cNvSpPr txBox="1"/>
        </xdr:nvSpPr>
        <xdr:spPr>
          <a:xfrm>
            <a:off x="3028949" y="1114485"/>
            <a:ext cx="2647951" cy="7847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CO" sz="2000" b="1">
                <a:solidFill>
                  <a:schemeClr val="bg1"/>
                </a:solidFill>
                <a:latin typeface="+mj-lt"/>
              </a:rPr>
              <a:t>Average Sales By Month:</a:t>
            </a:r>
          </a:p>
        </xdr:txBody>
      </xdr:sp>
      <xdr:sp macro="" textlink="'Analysis '!P5">
        <xdr:nvSpPr>
          <xdr:cNvPr id="51" name="CuadroTexto 50">
            <a:extLst>
              <a:ext uri="{FF2B5EF4-FFF2-40B4-BE49-F238E27FC236}">
                <a16:creationId xmlns:a16="http://schemas.microsoft.com/office/drawing/2014/main" id="{88D58107-DA1F-525D-28CB-B19DB272126C}"/>
              </a:ext>
            </a:extLst>
          </xdr:cNvPr>
          <xdr:cNvSpPr txBox="1"/>
        </xdr:nvSpPr>
        <xdr:spPr>
          <a:xfrm>
            <a:off x="3895725" y="1484338"/>
            <a:ext cx="1190626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FA4E3ED9-3D15-4F89-B065-9898B3E5F847}" type="TxLink">
              <a:rPr lang="en-US" sz="2000" b="1">
                <a:solidFill>
                  <a:schemeClr val="bg1"/>
                </a:solidFill>
                <a:latin typeface="+mj-lt"/>
                <a:ea typeface="+mn-ea"/>
                <a:cs typeface="+mn-cs"/>
              </a:rPr>
              <a:pPr marL="0" indent="0" algn="l"/>
              <a:t>$ 15.111</a:t>
            </a:fld>
            <a:endParaRPr lang="es-CO" sz="2000" b="1">
              <a:solidFill>
                <a:schemeClr val="bg1"/>
              </a:solidFill>
              <a:latin typeface="+mj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13</xdr:col>
      <xdr:colOff>247650</xdr:colOff>
      <xdr:row>21</xdr:row>
      <xdr:rowOff>0</xdr:rowOff>
    </xdr:from>
    <xdr:to>
      <xdr:col>18</xdr:col>
      <xdr:colOff>466725</xdr:colOff>
      <xdr:row>34</xdr:row>
      <xdr:rowOff>118533</xdr:rowOff>
    </xdr:to>
    <xdr:grpSp>
      <xdr:nvGrpSpPr>
        <xdr:cNvPr id="66" name="Grupo 65">
          <a:extLst>
            <a:ext uri="{FF2B5EF4-FFF2-40B4-BE49-F238E27FC236}">
              <a16:creationId xmlns:a16="http://schemas.microsoft.com/office/drawing/2014/main" id="{BE4EA09C-47F3-3C25-F9EA-C03DF1EDED5A}"/>
            </a:ext>
          </a:extLst>
        </xdr:cNvPr>
        <xdr:cNvGrpSpPr/>
      </xdr:nvGrpSpPr>
      <xdr:grpSpPr>
        <a:xfrm>
          <a:off x="9982200" y="3648075"/>
          <a:ext cx="3267075" cy="2347383"/>
          <a:chOff x="9048750" y="3648075"/>
          <a:chExt cx="3267075" cy="2347383"/>
        </a:xfrm>
      </xdr:grpSpPr>
      <xdr:sp macro="" textlink="">
        <xdr:nvSpPr>
          <xdr:cNvPr id="18" name="Rectángulo: esquinas redondeadas 17">
            <a:extLst>
              <a:ext uri="{FF2B5EF4-FFF2-40B4-BE49-F238E27FC236}">
                <a16:creationId xmlns:a16="http://schemas.microsoft.com/office/drawing/2014/main" id="{5C9B4A88-C69F-40FD-85A9-227ED833CA56}"/>
              </a:ext>
            </a:extLst>
          </xdr:cNvPr>
          <xdr:cNvSpPr/>
        </xdr:nvSpPr>
        <xdr:spPr>
          <a:xfrm>
            <a:off x="9048750" y="3648075"/>
            <a:ext cx="3267075" cy="2347383"/>
          </a:xfrm>
          <a:prstGeom prst="roundRect">
            <a:avLst/>
          </a:prstGeom>
          <a:gradFill flip="none" rotWithShape="1">
            <a:gsLst>
              <a:gs pos="0">
                <a:srgbClr val="EE842C"/>
              </a:gs>
              <a:gs pos="60000">
                <a:srgbClr val="D42520"/>
              </a:gs>
              <a:gs pos="100000">
                <a:srgbClr val="240E1B"/>
              </a:gs>
            </a:gsLst>
            <a:lin ang="13500000" scaled="1"/>
            <a:tileRect/>
          </a:gradFill>
          <a:ln>
            <a:noFill/>
          </a:ln>
          <a:effectLst>
            <a:innerShdw blurRad="63500" dist="50800" dir="2700000">
              <a:schemeClr val="bg1">
                <a:alpha val="60000"/>
              </a:scheme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O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52" name="Gráfico 51">
            <a:extLst>
              <a:ext uri="{FF2B5EF4-FFF2-40B4-BE49-F238E27FC236}">
                <a16:creationId xmlns:a16="http://schemas.microsoft.com/office/drawing/2014/main" id="{07F8841A-2DD3-477C-9A60-4F15C2E57368}"/>
              </a:ext>
            </a:extLst>
          </xdr:cNvPr>
          <xdr:cNvGraphicFramePr>
            <a:graphicFrameLocks/>
          </xdr:cNvGraphicFramePr>
        </xdr:nvGraphicFramePr>
        <xdr:xfrm>
          <a:off x="9172575" y="4038600"/>
          <a:ext cx="3009900" cy="19049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53" name="CuadroTexto 52">
            <a:extLst>
              <a:ext uri="{FF2B5EF4-FFF2-40B4-BE49-F238E27FC236}">
                <a16:creationId xmlns:a16="http://schemas.microsoft.com/office/drawing/2014/main" id="{9BCA2E10-209B-D20B-4C09-0C189791A3B6}"/>
              </a:ext>
            </a:extLst>
          </xdr:cNvPr>
          <xdr:cNvSpPr txBox="1"/>
        </xdr:nvSpPr>
        <xdr:spPr>
          <a:xfrm>
            <a:off x="9134474" y="3676651"/>
            <a:ext cx="3086101" cy="609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CO" sz="2000" b="1">
                <a:solidFill>
                  <a:schemeClr val="bg1"/>
                </a:solidFill>
                <a:latin typeface="+mj-lt"/>
              </a:rPr>
              <a:t>Sales </a:t>
            </a:r>
            <a:r>
              <a:rPr lang="es-CO" sz="2400" b="1">
                <a:solidFill>
                  <a:schemeClr val="bg1"/>
                </a:solidFill>
                <a:latin typeface="+mj-lt"/>
              </a:rPr>
              <a:t>By</a:t>
            </a:r>
            <a:r>
              <a:rPr lang="es-CO" sz="2000" b="1">
                <a:solidFill>
                  <a:schemeClr val="bg1"/>
                </a:solidFill>
                <a:latin typeface="+mj-lt"/>
              </a:rPr>
              <a:t> Category</a:t>
            </a:r>
          </a:p>
        </xdr:txBody>
      </xdr:sp>
    </xdr:grpSp>
    <xdr:clientData/>
  </xdr:twoCellAnchor>
  <xdr:twoCellAnchor>
    <xdr:from>
      <xdr:col>19</xdr:col>
      <xdr:colOff>57149</xdr:colOff>
      <xdr:row>7</xdr:row>
      <xdr:rowOff>123825</xdr:rowOff>
    </xdr:from>
    <xdr:to>
      <xdr:col>24</xdr:col>
      <xdr:colOff>323850</xdr:colOff>
      <xdr:row>20</xdr:row>
      <xdr:rowOff>57150</xdr:rowOff>
    </xdr:to>
    <xdr:sp macro="" textlink="">
      <xdr:nvSpPr>
        <xdr:cNvPr id="56" name="Rectángulo: esquinas redondeadas 55">
          <a:extLst>
            <a:ext uri="{FF2B5EF4-FFF2-40B4-BE49-F238E27FC236}">
              <a16:creationId xmlns:a16="http://schemas.microsoft.com/office/drawing/2014/main" id="{6F9DD750-BE98-A6A1-3EBC-7871E26DF73C}"/>
            </a:ext>
          </a:extLst>
        </xdr:cNvPr>
        <xdr:cNvSpPr/>
      </xdr:nvSpPr>
      <xdr:spPr>
        <a:xfrm>
          <a:off x="13449299" y="1343025"/>
          <a:ext cx="3314701" cy="2190750"/>
        </a:xfrm>
        <a:prstGeom prst="roundRect">
          <a:avLst/>
        </a:prstGeom>
        <a:gradFill flip="none" rotWithShape="1">
          <a:gsLst>
            <a:gs pos="0">
              <a:srgbClr val="EE842C"/>
            </a:gs>
            <a:gs pos="60000">
              <a:srgbClr val="D42520"/>
            </a:gs>
            <a:gs pos="100000">
              <a:srgbClr val="240E1B"/>
            </a:gs>
          </a:gsLst>
          <a:lin ang="13500000" scaled="1"/>
          <a:tileRect/>
        </a:gradFill>
        <a:ln>
          <a:noFill/>
        </a:ln>
        <a:effectLst>
          <a:innerShdw blurRad="63500" dist="50800" dir="2700000">
            <a:schemeClr val="bg1">
              <a:alpha val="60000"/>
            </a:scheme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CO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123825</xdr:colOff>
      <xdr:row>7</xdr:row>
      <xdr:rowOff>47626</xdr:rowOff>
    </xdr:from>
    <xdr:to>
      <xdr:col>24</xdr:col>
      <xdr:colOff>200025</xdr:colOff>
      <xdr:row>10</xdr:row>
      <xdr:rowOff>142875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E41C59CE-E0BD-3A2E-1E28-644D5EE9DEDE}"/>
            </a:ext>
          </a:extLst>
        </xdr:cNvPr>
        <xdr:cNvSpPr txBox="1"/>
      </xdr:nvSpPr>
      <xdr:spPr>
        <a:xfrm>
          <a:off x="13515975" y="1266826"/>
          <a:ext cx="3124200" cy="609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CO" sz="2000" b="1">
              <a:solidFill>
                <a:schemeClr val="bg1"/>
              </a:solidFill>
              <a:latin typeface="+mj-lt"/>
            </a:rPr>
            <a:t>Sales By Products - Top 5</a:t>
          </a:r>
        </a:p>
      </xdr:txBody>
    </xdr:sp>
    <xdr:clientData/>
  </xdr:twoCellAnchor>
  <xdr:twoCellAnchor>
    <xdr:from>
      <xdr:col>19</xdr:col>
      <xdr:colOff>85725</xdr:colOff>
      <xdr:row>10</xdr:row>
      <xdr:rowOff>38100</xdr:rowOff>
    </xdr:from>
    <xdr:to>
      <xdr:col>24</xdr:col>
      <xdr:colOff>266700</xdr:colOff>
      <xdr:row>20</xdr:row>
      <xdr:rowOff>85725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043BD6A6-6785-40D8-BF0F-F3EF77EF5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95250</xdr:colOff>
      <xdr:row>21</xdr:row>
      <xdr:rowOff>0</xdr:rowOff>
    </xdr:from>
    <xdr:to>
      <xdr:col>24</xdr:col>
      <xdr:colOff>314325</xdr:colOff>
      <xdr:row>34</xdr:row>
      <xdr:rowOff>118533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24853C14-AF21-E185-8CA3-5CC07B1F0F2E}"/>
            </a:ext>
          </a:extLst>
        </xdr:cNvPr>
        <xdr:cNvGrpSpPr/>
      </xdr:nvGrpSpPr>
      <xdr:grpSpPr>
        <a:xfrm>
          <a:off x="13487400" y="3648075"/>
          <a:ext cx="3267075" cy="2347383"/>
          <a:chOff x="12658725" y="3648075"/>
          <a:chExt cx="3267075" cy="2347383"/>
        </a:xfrm>
      </xdr:grpSpPr>
      <xdr:sp macro="" textlink="">
        <xdr:nvSpPr>
          <xdr:cNvPr id="58" name="Rectángulo: esquinas redondeadas 57">
            <a:extLst>
              <a:ext uri="{FF2B5EF4-FFF2-40B4-BE49-F238E27FC236}">
                <a16:creationId xmlns:a16="http://schemas.microsoft.com/office/drawing/2014/main" id="{88B04198-47A1-E4B6-91AB-E4F3D08E4D78}"/>
              </a:ext>
            </a:extLst>
          </xdr:cNvPr>
          <xdr:cNvSpPr/>
        </xdr:nvSpPr>
        <xdr:spPr>
          <a:xfrm>
            <a:off x="12658725" y="3648075"/>
            <a:ext cx="3267075" cy="2347383"/>
          </a:xfrm>
          <a:prstGeom prst="roundRect">
            <a:avLst/>
          </a:prstGeom>
          <a:gradFill flip="none" rotWithShape="1">
            <a:gsLst>
              <a:gs pos="0">
                <a:srgbClr val="EE842C"/>
              </a:gs>
              <a:gs pos="60000">
                <a:srgbClr val="D42520"/>
              </a:gs>
              <a:gs pos="100000">
                <a:srgbClr val="240E1B"/>
              </a:gs>
            </a:gsLst>
            <a:lin ang="13500000" scaled="1"/>
            <a:tileRect/>
          </a:gradFill>
          <a:ln>
            <a:noFill/>
          </a:ln>
          <a:effectLst>
            <a:innerShdw blurRad="63500" dist="50800" dir="2700000">
              <a:schemeClr val="bg1">
                <a:alpha val="60000"/>
              </a:scheme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O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59" name="Gráfico 58">
            <a:extLst>
              <a:ext uri="{FF2B5EF4-FFF2-40B4-BE49-F238E27FC236}">
                <a16:creationId xmlns:a16="http://schemas.microsoft.com/office/drawing/2014/main" id="{9622B897-A09E-42E0-99DD-F54BEAA5BDC9}"/>
              </a:ext>
            </a:extLst>
          </xdr:cNvPr>
          <xdr:cNvGraphicFramePr>
            <a:graphicFrameLocks/>
          </xdr:cNvGraphicFramePr>
        </xdr:nvGraphicFramePr>
        <xdr:xfrm>
          <a:off x="12868274" y="4038599"/>
          <a:ext cx="2838451" cy="18954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60" name="CuadroTexto 59">
            <a:extLst>
              <a:ext uri="{FF2B5EF4-FFF2-40B4-BE49-F238E27FC236}">
                <a16:creationId xmlns:a16="http://schemas.microsoft.com/office/drawing/2014/main" id="{7B71D22F-9C6C-E5DF-A4F9-6E6331BCC146}"/>
              </a:ext>
            </a:extLst>
          </xdr:cNvPr>
          <xdr:cNvSpPr txBox="1"/>
        </xdr:nvSpPr>
        <xdr:spPr>
          <a:xfrm>
            <a:off x="12734924" y="3676651"/>
            <a:ext cx="3086101" cy="609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CO" sz="2000" b="1">
                <a:solidFill>
                  <a:schemeClr val="bg1"/>
                </a:solidFill>
                <a:latin typeface="+mj-lt"/>
              </a:rPr>
              <a:t>Sales By Channel</a:t>
            </a:r>
          </a:p>
        </xdr:txBody>
      </xdr:sp>
    </xdr:grpSp>
    <xdr:clientData/>
  </xdr:twoCellAnchor>
  <xdr:twoCellAnchor>
    <xdr:from>
      <xdr:col>13</xdr:col>
      <xdr:colOff>180974</xdr:colOff>
      <xdr:row>7</xdr:row>
      <xdr:rowOff>47626</xdr:rowOff>
    </xdr:from>
    <xdr:to>
      <xdr:col>18</xdr:col>
      <xdr:colOff>447675</xdr:colOff>
      <xdr:row>20</xdr:row>
      <xdr:rowOff>57150</xdr:rowOff>
    </xdr:to>
    <xdr:grpSp>
      <xdr:nvGrpSpPr>
        <xdr:cNvPr id="64" name="Grupo 63">
          <a:extLst>
            <a:ext uri="{FF2B5EF4-FFF2-40B4-BE49-F238E27FC236}">
              <a16:creationId xmlns:a16="http://schemas.microsoft.com/office/drawing/2014/main" id="{3280F9BE-C1B5-E14D-6674-43B5687D4529}"/>
            </a:ext>
          </a:extLst>
        </xdr:cNvPr>
        <xdr:cNvGrpSpPr/>
      </xdr:nvGrpSpPr>
      <xdr:grpSpPr>
        <a:xfrm>
          <a:off x="9915524" y="1266826"/>
          <a:ext cx="3314701" cy="2266949"/>
          <a:chOff x="9029699" y="1266826"/>
          <a:chExt cx="3314701" cy="2266949"/>
        </a:xfrm>
      </xdr:grpSpPr>
      <xdr:sp macro="" textlink="">
        <xdr:nvSpPr>
          <xdr:cNvPr id="57" name="Rectángulo: esquinas redondeadas 56">
            <a:extLst>
              <a:ext uri="{FF2B5EF4-FFF2-40B4-BE49-F238E27FC236}">
                <a16:creationId xmlns:a16="http://schemas.microsoft.com/office/drawing/2014/main" id="{F0784CF4-48E0-6496-27E8-DCB382B27226}"/>
              </a:ext>
            </a:extLst>
          </xdr:cNvPr>
          <xdr:cNvSpPr/>
        </xdr:nvSpPr>
        <xdr:spPr>
          <a:xfrm>
            <a:off x="9029699" y="1343025"/>
            <a:ext cx="3314701" cy="2190750"/>
          </a:xfrm>
          <a:prstGeom prst="roundRect">
            <a:avLst/>
          </a:prstGeom>
          <a:gradFill flip="none" rotWithShape="1">
            <a:gsLst>
              <a:gs pos="0">
                <a:srgbClr val="EE842C"/>
              </a:gs>
              <a:gs pos="60000">
                <a:srgbClr val="D42520"/>
              </a:gs>
              <a:gs pos="100000">
                <a:srgbClr val="240E1B"/>
              </a:gs>
            </a:gsLst>
            <a:lin ang="13500000" scaled="1"/>
            <a:tileRect/>
          </a:gradFill>
          <a:ln>
            <a:noFill/>
          </a:ln>
          <a:effectLst>
            <a:innerShdw blurRad="63500" dist="50800" dir="2700000">
              <a:schemeClr val="bg1">
                <a:alpha val="60000"/>
              </a:scheme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O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61" name="Gráfico 60">
            <a:extLst>
              <a:ext uri="{FF2B5EF4-FFF2-40B4-BE49-F238E27FC236}">
                <a16:creationId xmlns:a16="http://schemas.microsoft.com/office/drawing/2014/main" id="{72CDDCCC-DF85-4F02-AE7D-1613B9608CD3}"/>
              </a:ext>
            </a:extLst>
          </xdr:cNvPr>
          <xdr:cNvGraphicFramePr>
            <a:graphicFrameLocks/>
          </xdr:cNvGraphicFramePr>
        </xdr:nvGraphicFramePr>
        <xdr:xfrm>
          <a:off x="9220201" y="1762124"/>
          <a:ext cx="2838450" cy="1647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">
        <xdr:nvSpPr>
          <xdr:cNvPr id="62" name="CuadroTexto 61">
            <a:extLst>
              <a:ext uri="{FF2B5EF4-FFF2-40B4-BE49-F238E27FC236}">
                <a16:creationId xmlns:a16="http://schemas.microsoft.com/office/drawing/2014/main" id="{25023408-6030-1377-0F8F-69E24467C9AD}"/>
              </a:ext>
            </a:extLst>
          </xdr:cNvPr>
          <xdr:cNvSpPr txBox="1"/>
        </xdr:nvSpPr>
        <xdr:spPr>
          <a:xfrm>
            <a:off x="9058275" y="1266826"/>
            <a:ext cx="3248025" cy="609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O" sz="2000" b="1">
                <a:solidFill>
                  <a:schemeClr val="bg1"/>
                </a:solidFill>
                <a:latin typeface="+mj-lt"/>
              </a:rPr>
              <a:t>Sales By Method</a:t>
            </a:r>
          </a:p>
        </xdr:txBody>
      </xdr:sp>
    </xdr:grpSp>
    <xdr:clientData/>
  </xdr:twoCellAnchor>
  <xdr:twoCellAnchor editAs="oneCell">
    <xdr:from>
      <xdr:col>7</xdr:col>
      <xdr:colOff>266700</xdr:colOff>
      <xdr:row>7</xdr:row>
      <xdr:rowOff>76201</xdr:rowOff>
    </xdr:from>
    <xdr:to>
      <xdr:col>10</xdr:col>
      <xdr:colOff>19050</xdr:colOff>
      <xdr:row>17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7" name="Region">
              <a:extLst>
                <a:ext uri="{FF2B5EF4-FFF2-40B4-BE49-F238E27FC236}">
                  <a16:creationId xmlns:a16="http://schemas.microsoft.com/office/drawing/2014/main" id="{EF270288-90D9-43F4-8108-573D6C3479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43650" y="1295401"/>
              <a:ext cx="1581150" cy="1704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180974</xdr:colOff>
      <xdr:row>7</xdr:row>
      <xdr:rowOff>80011</xdr:rowOff>
    </xdr:from>
    <xdr:to>
      <xdr:col>12</xdr:col>
      <xdr:colOff>400049</xdr:colOff>
      <xdr:row>17</xdr:row>
      <xdr:rowOff>85726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8" name="City">
              <a:extLst>
                <a:ext uri="{FF2B5EF4-FFF2-40B4-BE49-F238E27FC236}">
                  <a16:creationId xmlns:a16="http://schemas.microsoft.com/office/drawing/2014/main" id="{DEAEC236-0512-4C29-8053-801ABD0CF1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86724" y="1299211"/>
              <a:ext cx="1438275" cy="1729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255270</xdr:colOff>
      <xdr:row>17</xdr:row>
      <xdr:rowOff>152400</xdr:rowOff>
    </xdr:from>
    <xdr:to>
      <xdr:col>10</xdr:col>
      <xdr:colOff>19050</xdr:colOff>
      <xdr:row>34</xdr:row>
      <xdr:rowOff>57151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9" name="Product_Name">
              <a:extLst>
                <a:ext uri="{FF2B5EF4-FFF2-40B4-BE49-F238E27FC236}">
                  <a16:creationId xmlns:a16="http://schemas.microsoft.com/office/drawing/2014/main" id="{AF8D4C61-D5BA-4FA5-A15B-5D3536C1F8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32220" y="3095625"/>
              <a:ext cx="1592580" cy="28384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173355</xdr:colOff>
      <xdr:row>17</xdr:row>
      <xdr:rowOff>161926</xdr:rowOff>
    </xdr:from>
    <xdr:to>
      <xdr:col>12</xdr:col>
      <xdr:colOff>409575</xdr:colOff>
      <xdr:row>28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0" name="Sales_Rep">
              <a:extLst>
                <a:ext uri="{FF2B5EF4-FFF2-40B4-BE49-F238E27FC236}">
                  <a16:creationId xmlns:a16="http://schemas.microsoft.com/office/drawing/2014/main" id="{D9A0769B-466F-4AA9-B54F-862994277D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_Re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79105" y="3105151"/>
              <a:ext cx="1455420" cy="1857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171451</xdr:colOff>
      <xdr:row>28</xdr:row>
      <xdr:rowOff>161926</xdr:rowOff>
    </xdr:from>
    <xdr:to>
      <xdr:col>12</xdr:col>
      <xdr:colOff>381001</xdr:colOff>
      <xdr:row>34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1" name="Sales_Channel">
              <a:extLst>
                <a:ext uri="{FF2B5EF4-FFF2-40B4-BE49-F238E27FC236}">
                  <a16:creationId xmlns:a16="http://schemas.microsoft.com/office/drawing/2014/main" id="{6BABF820-21FC-46D3-8883-B7A726DB24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_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77201" y="5010151"/>
              <a:ext cx="1428750" cy="942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304801</xdr:colOff>
      <xdr:row>16</xdr:row>
      <xdr:rowOff>152400</xdr:rowOff>
    </xdr:from>
    <xdr:to>
      <xdr:col>6</xdr:col>
      <xdr:colOff>361950</xdr:colOff>
      <xdr:row>20</xdr:row>
      <xdr:rowOff>114299</xdr:rowOff>
    </xdr:to>
    <xdr:pic>
      <xdr:nvPicPr>
        <xdr:cNvPr id="50" name="Gráfico 49" descr="Gráfico exponencial con relleno sólido">
          <a:extLst>
            <a:ext uri="{FF2B5EF4-FFF2-40B4-BE49-F238E27FC236}">
              <a16:creationId xmlns:a16="http://schemas.microsoft.com/office/drawing/2014/main" id="{6A18AC89-49EE-2EFD-1883-0A76D3F8E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5162551" y="2924175"/>
          <a:ext cx="666749" cy="66674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Manuel Arredondo Londoño" refreshedDate="46017.997740740742" createdVersion="8" refreshedVersion="8" minRefreshableVersion="3" recordCount="1200" xr:uid="{77E188E6-1484-45B3-81E2-65D30BF31598}">
  <cacheSource type="worksheet">
    <worksheetSource name="Data"/>
  </cacheSource>
  <cacheFields count="13">
    <cacheField name="Order_ID" numFmtId="0">
      <sharedItems containsSemiMixedTypes="0" containsString="0" containsNumber="1" containsInteger="1" minValue="10000" maxValue="11199"/>
    </cacheField>
    <cacheField name="Order_Date" numFmtId="14">
      <sharedItems containsSemiMixedTypes="0" containsNonDate="0" containsDate="1" containsString="0" minDate="2024-01-01T00:00:00" maxDate="2024-12-31T00:00:00" count="355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8T00:00:00"/>
        <d v="2024-07-29T00:00:00"/>
        <d v="2024-07-30T00:00:00"/>
        <d v="2024-07-3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</sharedItems>
      <fieldGroup par="12"/>
    </cacheField>
    <cacheField name="Region" numFmtId="0">
      <sharedItems count="4">
        <s v="East"/>
        <s v="West"/>
        <s v="North"/>
        <s v="South"/>
      </sharedItems>
    </cacheField>
    <cacheField name="City" numFmtId="0">
      <sharedItems count="5">
        <s v="Bogotá"/>
        <s v="Cali"/>
        <s v="Bucaramanga"/>
        <s v="Barranquilla"/>
        <s v="Medellín"/>
      </sharedItems>
    </cacheField>
    <cacheField name="Sales_Channel" numFmtId="0">
      <sharedItems count="2">
        <s v="Store"/>
        <s v="Online"/>
      </sharedItems>
    </cacheField>
    <cacheField name="Product_Category" numFmtId="0">
      <sharedItems count="3">
        <s v="Accessories"/>
        <s v="Clothing"/>
        <s v="Footwear"/>
      </sharedItems>
    </cacheField>
    <cacheField name="Product_Name" numFmtId="0">
      <sharedItems count="9">
        <s v="Backpacks"/>
        <s v="Socks"/>
        <s v="Pants"/>
        <s v="Sandals"/>
        <s v="Running Shoes"/>
        <s v="Hoodies"/>
        <s v="Sneakers"/>
        <s v="T-Shirts"/>
        <s v="Caps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164">
      <sharedItems containsSemiMixedTypes="0" containsString="0" containsNumber="1" containsInteger="1" minValue="20" maxValue="150"/>
    </cacheField>
    <cacheField name="Total_Sales" numFmtId="164">
      <sharedItems containsSemiMixedTypes="0" containsString="0" containsNumber="1" containsInteger="1" minValue="20" maxValue="750"/>
    </cacheField>
    <cacheField name="Sales_Rep" numFmtId="0">
      <sharedItems count="5">
        <s v="Carlos"/>
        <s v="Sofía"/>
        <s v="María"/>
        <s v="Ana"/>
        <s v="Luis"/>
      </sharedItems>
    </cacheField>
    <cacheField name="Payment_Method" numFmtId="0">
      <sharedItems count="4">
        <s v="Credit Card"/>
        <s v="Debit Card"/>
        <s v="Cash"/>
        <s v="Transfer"/>
      </sharedItems>
    </cacheField>
    <cacheField name="Meses (Order_Date)" numFmtId="0" databaseField="0">
      <fieldGroup base="1">
        <rangePr groupBy="months" startDate="2024-01-01T00:00:00" endDate="2024-12-31T00:00:00"/>
        <groupItems count="14">
          <s v="&lt;1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24"/>
        </groupItems>
      </fieldGroup>
    </cacheField>
  </cacheFields>
  <extLst>
    <ext xmlns:x14="http://schemas.microsoft.com/office/spreadsheetml/2009/9/main" uri="{725AE2AE-9491-48be-B2B4-4EB974FC3084}">
      <x14:pivotCacheDefinition pivotCacheId="10632458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169"/>
    <x v="0"/>
    <x v="0"/>
    <x v="0"/>
    <x v="0"/>
    <x v="0"/>
    <x v="0"/>
    <n v="3"/>
    <n v="129"/>
    <n v="387"/>
    <x v="0"/>
    <x v="0"/>
  </r>
  <r>
    <n v="10330"/>
    <x v="0"/>
    <x v="1"/>
    <x v="1"/>
    <x v="1"/>
    <x v="0"/>
    <x v="1"/>
    <n v="1"/>
    <n v="105"/>
    <n v="105"/>
    <x v="0"/>
    <x v="1"/>
  </r>
  <r>
    <n v="10350"/>
    <x v="0"/>
    <x v="0"/>
    <x v="2"/>
    <x v="1"/>
    <x v="0"/>
    <x v="0"/>
    <n v="1"/>
    <n v="142"/>
    <n v="142"/>
    <x v="0"/>
    <x v="2"/>
  </r>
  <r>
    <n v="10534"/>
    <x v="0"/>
    <x v="1"/>
    <x v="0"/>
    <x v="1"/>
    <x v="1"/>
    <x v="2"/>
    <n v="3"/>
    <n v="136"/>
    <n v="408"/>
    <x v="1"/>
    <x v="2"/>
  </r>
  <r>
    <n v="10854"/>
    <x v="0"/>
    <x v="2"/>
    <x v="3"/>
    <x v="0"/>
    <x v="1"/>
    <x v="2"/>
    <n v="3"/>
    <n v="62"/>
    <n v="186"/>
    <x v="1"/>
    <x v="2"/>
  </r>
  <r>
    <n v="11046"/>
    <x v="0"/>
    <x v="3"/>
    <x v="4"/>
    <x v="1"/>
    <x v="2"/>
    <x v="3"/>
    <n v="4"/>
    <n v="56"/>
    <n v="224"/>
    <x v="2"/>
    <x v="3"/>
  </r>
  <r>
    <n v="10653"/>
    <x v="1"/>
    <x v="1"/>
    <x v="3"/>
    <x v="1"/>
    <x v="1"/>
    <x v="2"/>
    <n v="1"/>
    <n v="77"/>
    <n v="77"/>
    <x v="1"/>
    <x v="2"/>
  </r>
  <r>
    <n v="10284"/>
    <x v="2"/>
    <x v="3"/>
    <x v="0"/>
    <x v="0"/>
    <x v="1"/>
    <x v="2"/>
    <n v="4"/>
    <n v="119"/>
    <n v="476"/>
    <x v="3"/>
    <x v="0"/>
  </r>
  <r>
    <n v="10435"/>
    <x v="2"/>
    <x v="0"/>
    <x v="3"/>
    <x v="1"/>
    <x v="2"/>
    <x v="4"/>
    <n v="5"/>
    <n v="85"/>
    <n v="425"/>
    <x v="3"/>
    <x v="1"/>
  </r>
  <r>
    <n v="11008"/>
    <x v="2"/>
    <x v="0"/>
    <x v="0"/>
    <x v="0"/>
    <x v="1"/>
    <x v="5"/>
    <n v="3"/>
    <n v="47"/>
    <n v="141"/>
    <x v="4"/>
    <x v="0"/>
  </r>
  <r>
    <n v="10223"/>
    <x v="3"/>
    <x v="0"/>
    <x v="3"/>
    <x v="1"/>
    <x v="2"/>
    <x v="6"/>
    <n v="3"/>
    <n v="83"/>
    <n v="249"/>
    <x v="2"/>
    <x v="2"/>
  </r>
  <r>
    <n v="10597"/>
    <x v="3"/>
    <x v="2"/>
    <x v="1"/>
    <x v="0"/>
    <x v="1"/>
    <x v="2"/>
    <n v="5"/>
    <n v="102"/>
    <n v="510"/>
    <x v="2"/>
    <x v="0"/>
  </r>
  <r>
    <n v="11003"/>
    <x v="3"/>
    <x v="1"/>
    <x v="2"/>
    <x v="0"/>
    <x v="1"/>
    <x v="7"/>
    <n v="5"/>
    <n v="68"/>
    <n v="340"/>
    <x v="0"/>
    <x v="0"/>
  </r>
  <r>
    <n v="10517"/>
    <x v="4"/>
    <x v="1"/>
    <x v="1"/>
    <x v="1"/>
    <x v="0"/>
    <x v="8"/>
    <n v="4"/>
    <n v="96"/>
    <n v="384"/>
    <x v="3"/>
    <x v="2"/>
  </r>
  <r>
    <n v="10808"/>
    <x v="4"/>
    <x v="2"/>
    <x v="3"/>
    <x v="0"/>
    <x v="0"/>
    <x v="8"/>
    <n v="1"/>
    <n v="105"/>
    <n v="105"/>
    <x v="2"/>
    <x v="2"/>
  </r>
  <r>
    <n v="10484"/>
    <x v="5"/>
    <x v="3"/>
    <x v="2"/>
    <x v="0"/>
    <x v="2"/>
    <x v="3"/>
    <n v="4"/>
    <n v="132"/>
    <n v="528"/>
    <x v="0"/>
    <x v="0"/>
  </r>
  <r>
    <n v="10626"/>
    <x v="5"/>
    <x v="2"/>
    <x v="4"/>
    <x v="1"/>
    <x v="2"/>
    <x v="6"/>
    <n v="2"/>
    <n v="54"/>
    <n v="108"/>
    <x v="2"/>
    <x v="3"/>
  </r>
  <r>
    <n v="10981"/>
    <x v="5"/>
    <x v="2"/>
    <x v="4"/>
    <x v="1"/>
    <x v="0"/>
    <x v="1"/>
    <n v="4"/>
    <n v="114"/>
    <n v="456"/>
    <x v="3"/>
    <x v="3"/>
  </r>
  <r>
    <n v="11103"/>
    <x v="5"/>
    <x v="3"/>
    <x v="4"/>
    <x v="1"/>
    <x v="2"/>
    <x v="4"/>
    <n v="1"/>
    <n v="131"/>
    <n v="131"/>
    <x v="1"/>
    <x v="3"/>
  </r>
  <r>
    <n v="10432"/>
    <x v="6"/>
    <x v="0"/>
    <x v="0"/>
    <x v="0"/>
    <x v="1"/>
    <x v="5"/>
    <n v="3"/>
    <n v="33"/>
    <n v="99"/>
    <x v="0"/>
    <x v="2"/>
  </r>
  <r>
    <n v="10099"/>
    <x v="7"/>
    <x v="3"/>
    <x v="3"/>
    <x v="1"/>
    <x v="2"/>
    <x v="6"/>
    <n v="1"/>
    <n v="136"/>
    <n v="136"/>
    <x v="3"/>
    <x v="3"/>
  </r>
  <r>
    <n v="10660"/>
    <x v="7"/>
    <x v="3"/>
    <x v="4"/>
    <x v="0"/>
    <x v="0"/>
    <x v="0"/>
    <n v="2"/>
    <n v="53"/>
    <n v="106"/>
    <x v="3"/>
    <x v="3"/>
  </r>
  <r>
    <n v="11074"/>
    <x v="7"/>
    <x v="3"/>
    <x v="1"/>
    <x v="1"/>
    <x v="2"/>
    <x v="3"/>
    <n v="4"/>
    <n v="44"/>
    <n v="176"/>
    <x v="2"/>
    <x v="0"/>
  </r>
  <r>
    <n v="10445"/>
    <x v="8"/>
    <x v="1"/>
    <x v="4"/>
    <x v="1"/>
    <x v="0"/>
    <x v="8"/>
    <n v="4"/>
    <n v="100"/>
    <n v="400"/>
    <x v="1"/>
    <x v="0"/>
  </r>
  <r>
    <n v="10457"/>
    <x v="9"/>
    <x v="2"/>
    <x v="2"/>
    <x v="0"/>
    <x v="1"/>
    <x v="2"/>
    <n v="1"/>
    <n v="39"/>
    <n v="39"/>
    <x v="1"/>
    <x v="1"/>
  </r>
  <r>
    <n v="10566"/>
    <x v="9"/>
    <x v="0"/>
    <x v="1"/>
    <x v="0"/>
    <x v="1"/>
    <x v="5"/>
    <n v="4"/>
    <n v="60"/>
    <n v="240"/>
    <x v="4"/>
    <x v="1"/>
  </r>
  <r>
    <n v="10651"/>
    <x v="9"/>
    <x v="1"/>
    <x v="0"/>
    <x v="1"/>
    <x v="0"/>
    <x v="1"/>
    <n v="3"/>
    <n v="134"/>
    <n v="402"/>
    <x v="3"/>
    <x v="3"/>
  </r>
  <r>
    <n v="10844"/>
    <x v="9"/>
    <x v="0"/>
    <x v="0"/>
    <x v="1"/>
    <x v="2"/>
    <x v="3"/>
    <n v="5"/>
    <n v="66"/>
    <n v="330"/>
    <x v="1"/>
    <x v="3"/>
  </r>
  <r>
    <n v="10861"/>
    <x v="10"/>
    <x v="0"/>
    <x v="1"/>
    <x v="1"/>
    <x v="2"/>
    <x v="6"/>
    <n v="1"/>
    <n v="76"/>
    <n v="76"/>
    <x v="3"/>
    <x v="2"/>
  </r>
  <r>
    <n v="10931"/>
    <x v="10"/>
    <x v="2"/>
    <x v="1"/>
    <x v="1"/>
    <x v="0"/>
    <x v="1"/>
    <n v="1"/>
    <n v="79"/>
    <n v="79"/>
    <x v="2"/>
    <x v="1"/>
  </r>
  <r>
    <n v="10234"/>
    <x v="11"/>
    <x v="0"/>
    <x v="3"/>
    <x v="0"/>
    <x v="0"/>
    <x v="0"/>
    <n v="2"/>
    <n v="20"/>
    <n v="40"/>
    <x v="1"/>
    <x v="3"/>
  </r>
  <r>
    <n v="10351"/>
    <x v="11"/>
    <x v="3"/>
    <x v="2"/>
    <x v="1"/>
    <x v="0"/>
    <x v="0"/>
    <n v="3"/>
    <n v="35"/>
    <n v="105"/>
    <x v="3"/>
    <x v="2"/>
  </r>
  <r>
    <n v="10400"/>
    <x v="11"/>
    <x v="3"/>
    <x v="4"/>
    <x v="0"/>
    <x v="2"/>
    <x v="4"/>
    <n v="2"/>
    <n v="74"/>
    <n v="148"/>
    <x v="3"/>
    <x v="3"/>
  </r>
  <r>
    <n v="10467"/>
    <x v="11"/>
    <x v="3"/>
    <x v="4"/>
    <x v="1"/>
    <x v="2"/>
    <x v="3"/>
    <n v="2"/>
    <n v="125"/>
    <n v="250"/>
    <x v="1"/>
    <x v="1"/>
  </r>
  <r>
    <n v="10886"/>
    <x v="11"/>
    <x v="3"/>
    <x v="1"/>
    <x v="1"/>
    <x v="0"/>
    <x v="0"/>
    <n v="2"/>
    <n v="70"/>
    <n v="140"/>
    <x v="3"/>
    <x v="1"/>
  </r>
  <r>
    <n v="10982"/>
    <x v="11"/>
    <x v="1"/>
    <x v="1"/>
    <x v="1"/>
    <x v="0"/>
    <x v="1"/>
    <n v="5"/>
    <n v="77"/>
    <n v="385"/>
    <x v="1"/>
    <x v="1"/>
  </r>
  <r>
    <n v="11029"/>
    <x v="11"/>
    <x v="3"/>
    <x v="2"/>
    <x v="0"/>
    <x v="2"/>
    <x v="6"/>
    <n v="4"/>
    <n v="148"/>
    <n v="592"/>
    <x v="0"/>
    <x v="2"/>
  </r>
  <r>
    <n v="10440"/>
    <x v="12"/>
    <x v="0"/>
    <x v="2"/>
    <x v="0"/>
    <x v="1"/>
    <x v="5"/>
    <n v="5"/>
    <n v="92"/>
    <n v="460"/>
    <x v="2"/>
    <x v="0"/>
  </r>
  <r>
    <n v="10710"/>
    <x v="13"/>
    <x v="2"/>
    <x v="0"/>
    <x v="0"/>
    <x v="1"/>
    <x v="2"/>
    <n v="4"/>
    <n v="77"/>
    <n v="308"/>
    <x v="4"/>
    <x v="3"/>
  </r>
  <r>
    <n v="11058"/>
    <x v="13"/>
    <x v="1"/>
    <x v="1"/>
    <x v="1"/>
    <x v="0"/>
    <x v="1"/>
    <n v="2"/>
    <n v="116"/>
    <n v="232"/>
    <x v="3"/>
    <x v="0"/>
  </r>
  <r>
    <n v="11099"/>
    <x v="13"/>
    <x v="3"/>
    <x v="1"/>
    <x v="0"/>
    <x v="2"/>
    <x v="6"/>
    <n v="1"/>
    <n v="23"/>
    <n v="23"/>
    <x v="4"/>
    <x v="1"/>
  </r>
  <r>
    <n v="10069"/>
    <x v="14"/>
    <x v="1"/>
    <x v="1"/>
    <x v="1"/>
    <x v="0"/>
    <x v="1"/>
    <n v="4"/>
    <n v="106"/>
    <n v="424"/>
    <x v="2"/>
    <x v="1"/>
  </r>
  <r>
    <n v="10092"/>
    <x v="14"/>
    <x v="3"/>
    <x v="0"/>
    <x v="0"/>
    <x v="1"/>
    <x v="5"/>
    <n v="4"/>
    <n v="51"/>
    <n v="204"/>
    <x v="1"/>
    <x v="0"/>
  </r>
  <r>
    <n v="10776"/>
    <x v="14"/>
    <x v="0"/>
    <x v="1"/>
    <x v="1"/>
    <x v="1"/>
    <x v="7"/>
    <n v="4"/>
    <n v="57"/>
    <n v="228"/>
    <x v="1"/>
    <x v="3"/>
  </r>
  <r>
    <n v="10869"/>
    <x v="14"/>
    <x v="1"/>
    <x v="3"/>
    <x v="1"/>
    <x v="1"/>
    <x v="5"/>
    <n v="1"/>
    <n v="44"/>
    <n v="44"/>
    <x v="1"/>
    <x v="2"/>
  </r>
  <r>
    <n v="10321"/>
    <x v="15"/>
    <x v="0"/>
    <x v="3"/>
    <x v="0"/>
    <x v="2"/>
    <x v="3"/>
    <n v="3"/>
    <n v="50"/>
    <n v="150"/>
    <x v="1"/>
    <x v="0"/>
  </r>
  <r>
    <n v="10346"/>
    <x v="15"/>
    <x v="0"/>
    <x v="4"/>
    <x v="0"/>
    <x v="2"/>
    <x v="4"/>
    <n v="3"/>
    <n v="76"/>
    <n v="228"/>
    <x v="1"/>
    <x v="2"/>
  </r>
  <r>
    <n v="10823"/>
    <x v="15"/>
    <x v="1"/>
    <x v="0"/>
    <x v="1"/>
    <x v="1"/>
    <x v="5"/>
    <n v="5"/>
    <n v="112"/>
    <n v="560"/>
    <x v="1"/>
    <x v="0"/>
  </r>
  <r>
    <n v="11190"/>
    <x v="16"/>
    <x v="0"/>
    <x v="3"/>
    <x v="0"/>
    <x v="0"/>
    <x v="8"/>
    <n v="3"/>
    <n v="27"/>
    <n v="81"/>
    <x v="0"/>
    <x v="2"/>
  </r>
  <r>
    <n v="10369"/>
    <x v="17"/>
    <x v="3"/>
    <x v="4"/>
    <x v="0"/>
    <x v="1"/>
    <x v="5"/>
    <n v="1"/>
    <n v="121"/>
    <n v="121"/>
    <x v="0"/>
    <x v="1"/>
  </r>
  <r>
    <n v="10946"/>
    <x v="17"/>
    <x v="0"/>
    <x v="4"/>
    <x v="1"/>
    <x v="0"/>
    <x v="0"/>
    <n v="2"/>
    <n v="142"/>
    <n v="284"/>
    <x v="4"/>
    <x v="3"/>
  </r>
  <r>
    <n v="11184"/>
    <x v="17"/>
    <x v="3"/>
    <x v="4"/>
    <x v="0"/>
    <x v="0"/>
    <x v="1"/>
    <n v="1"/>
    <n v="72"/>
    <n v="72"/>
    <x v="2"/>
    <x v="0"/>
  </r>
  <r>
    <n v="10989"/>
    <x v="18"/>
    <x v="3"/>
    <x v="0"/>
    <x v="0"/>
    <x v="0"/>
    <x v="0"/>
    <n v="1"/>
    <n v="80"/>
    <n v="80"/>
    <x v="0"/>
    <x v="1"/>
  </r>
  <r>
    <n v="11090"/>
    <x v="18"/>
    <x v="3"/>
    <x v="0"/>
    <x v="0"/>
    <x v="0"/>
    <x v="8"/>
    <n v="5"/>
    <n v="44"/>
    <n v="220"/>
    <x v="1"/>
    <x v="1"/>
  </r>
  <r>
    <n v="10042"/>
    <x v="19"/>
    <x v="2"/>
    <x v="2"/>
    <x v="0"/>
    <x v="1"/>
    <x v="7"/>
    <n v="5"/>
    <n v="87"/>
    <n v="435"/>
    <x v="4"/>
    <x v="2"/>
  </r>
  <r>
    <n v="10219"/>
    <x v="19"/>
    <x v="2"/>
    <x v="1"/>
    <x v="1"/>
    <x v="1"/>
    <x v="5"/>
    <n v="2"/>
    <n v="94"/>
    <n v="188"/>
    <x v="4"/>
    <x v="2"/>
  </r>
  <r>
    <n v="10396"/>
    <x v="19"/>
    <x v="3"/>
    <x v="1"/>
    <x v="1"/>
    <x v="1"/>
    <x v="5"/>
    <n v="4"/>
    <n v="21"/>
    <n v="84"/>
    <x v="4"/>
    <x v="1"/>
  </r>
  <r>
    <n v="11019"/>
    <x v="19"/>
    <x v="0"/>
    <x v="0"/>
    <x v="1"/>
    <x v="2"/>
    <x v="4"/>
    <n v="2"/>
    <n v="122"/>
    <n v="244"/>
    <x v="2"/>
    <x v="0"/>
  </r>
  <r>
    <n v="10462"/>
    <x v="20"/>
    <x v="0"/>
    <x v="4"/>
    <x v="0"/>
    <x v="1"/>
    <x v="5"/>
    <n v="4"/>
    <n v="31"/>
    <n v="124"/>
    <x v="4"/>
    <x v="1"/>
  </r>
  <r>
    <n v="10680"/>
    <x v="20"/>
    <x v="1"/>
    <x v="2"/>
    <x v="1"/>
    <x v="0"/>
    <x v="0"/>
    <n v="4"/>
    <n v="31"/>
    <n v="124"/>
    <x v="2"/>
    <x v="3"/>
  </r>
  <r>
    <n v="11073"/>
    <x v="20"/>
    <x v="1"/>
    <x v="0"/>
    <x v="1"/>
    <x v="1"/>
    <x v="5"/>
    <n v="3"/>
    <n v="130"/>
    <n v="390"/>
    <x v="1"/>
    <x v="0"/>
  </r>
  <r>
    <n v="10578"/>
    <x v="21"/>
    <x v="3"/>
    <x v="2"/>
    <x v="0"/>
    <x v="0"/>
    <x v="0"/>
    <n v="4"/>
    <n v="136"/>
    <n v="544"/>
    <x v="3"/>
    <x v="3"/>
  </r>
  <r>
    <n v="11026"/>
    <x v="21"/>
    <x v="3"/>
    <x v="0"/>
    <x v="0"/>
    <x v="2"/>
    <x v="3"/>
    <n v="5"/>
    <n v="50"/>
    <n v="250"/>
    <x v="3"/>
    <x v="0"/>
  </r>
  <r>
    <n v="10004"/>
    <x v="22"/>
    <x v="1"/>
    <x v="2"/>
    <x v="1"/>
    <x v="2"/>
    <x v="6"/>
    <n v="3"/>
    <n v="87"/>
    <n v="261"/>
    <x v="2"/>
    <x v="0"/>
  </r>
  <r>
    <n v="10231"/>
    <x v="23"/>
    <x v="1"/>
    <x v="1"/>
    <x v="1"/>
    <x v="0"/>
    <x v="0"/>
    <n v="5"/>
    <n v="38"/>
    <n v="190"/>
    <x v="1"/>
    <x v="0"/>
  </r>
  <r>
    <n v="11147"/>
    <x v="23"/>
    <x v="2"/>
    <x v="2"/>
    <x v="0"/>
    <x v="1"/>
    <x v="7"/>
    <n v="4"/>
    <n v="48"/>
    <n v="192"/>
    <x v="0"/>
    <x v="1"/>
  </r>
  <r>
    <n v="11179"/>
    <x v="23"/>
    <x v="2"/>
    <x v="0"/>
    <x v="1"/>
    <x v="0"/>
    <x v="1"/>
    <n v="4"/>
    <n v="37"/>
    <n v="148"/>
    <x v="3"/>
    <x v="0"/>
  </r>
  <r>
    <n v="10200"/>
    <x v="24"/>
    <x v="2"/>
    <x v="1"/>
    <x v="0"/>
    <x v="2"/>
    <x v="4"/>
    <n v="5"/>
    <n v="110"/>
    <n v="550"/>
    <x v="1"/>
    <x v="3"/>
  </r>
  <r>
    <n v="10838"/>
    <x v="24"/>
    <x v="0"/>
    <x v="1"/>
    <x v="1"/>
    <x v="2"/>
    <x v="4"/>
    <n v="2"/>
    <n v="127"/>
    <n v="254"/>
    <x v="0"/>
    <x v="3"/>
  </r>
  <r>
    <n v="10051"/>
    <x v="25"/>
    <x v="3"/>
    <x v="4"/>
    <x v="0"/>
    <x v="2"/>
    <x v="4"/>
    <n v="5"/>
    <n v="138"/>
    <n v="690"/>
    <x v="0"/>
    <x v="3"/>
  </r>
  <r>
    <n v="10375"/>
    <x v="25"/>
    <x v="1"/>
    <x v="1"/>
    <x v="0"/>
    <x v="2"/>
    <x v="6"/>
    <n v="3"/>
    <n v="80"/>
    <n v="240"/>
    <x v="3"/>
    <x v="2"/>
  </r>
  <r>
    <n v="10521"/>
    <x v="25"/>
    <x v="2"/>
    <x v="0"/>
    <x v="1"/>
    <x v="2"/>
    <x v="6"/>
    <n v="1"/>
    <n v="58"/>
    <n v="58"/>
    <x v="4"/>
    <x v="2"/>
  </r>
  <r>
    <n v="10588"/>
    <x v="25"/>
    <x v="3"/>
    <x v="0"/>
    <x v="1"/>
    <x v="2"/>
    <x v="3"/>
    <n v="3"/>
    <n v="73"/>
    <n v="219"/>
    <x v="4"/>
    <x v="0"/>
  </r>
  <r>
    <n v="10610"/>
    <x v="25"/>
    <x v="3"/>
    <x v="4"/>
    <x v="0"/>
    <x v="1"/>
    <x v="2"/>
    <n v="3"/>
    <n v="133"/>
    <n v="399"/>
    <x v="3"/>
    <x v="0"/>
  </r>
  <r>
    <n v="10136"/>
    <x v="26"/>
    <x v="3"/>
    <x v="0"/>
    <x v="1"/>
    <x v="0"/>
    <x v="8"/>
    <n v="5"/>
    <n v="41"/>
    <n v="205"/>
    <x v="3"/>
    <x v="2"/>
  </r>
  <r>
    <n v="10243"/>
    <x v="26"/>
    <x v="0"/>
    <x v="3"/>
    <x v="1"/>
    <x v="1"/>
    <x v="5"/>
    <n v="1"/>
    <n v="68"/>
    <n v="68"/>
    <x v="3"/>
    <x v="1"/>
  </r>
  <r>
    <n v="10639"/>
    <x v="26"/>
    <x v="3"/>
    <x v="3"/>
    <x v="0"/>
    <x v="2"/>
    <x v="3"/>
    <n v="3"/>
    <n v="49"/>
    <n v="147"/>
    <x v="2"/>
    <x v="2"/>
  </r>
  <r>
    <n v="10497"/>
    <x v="27"/>
    <x v="1"/>
    <x v="3"/>
    <x v="1"/>
    <x v="1"/>
    <x v="7"/>
    <n v="5"/>
    <n v="52"/>
    <n v="260"/>
    <x v="1"/>
    <x v="2"/>
  </r>
  <r>
    <n v="10669"/>
    <x v="27"/>
    <x v="3"/>
    <x v="4"/>
    <x v="1"/>
    <x v="1"/>
    <x v="2"/>
    <n v="2"/>
    <n v="90"/>
    <n v="180"/>
    <x v="2"/>
    <x v="3"/>
  </r>
  <r>
    <n v="10256"/>
    <x v="28"/>
    <x v="2"/>
    <x v="0"/>
    <x v="1"/>
    <x v="1"/>
    <x v="5"/>
    <n v="4"/>
    <n v="141"/>
    <n v="564"/>
    <x v="2"/>
    <x v="3"/>
  </r>
  <r>
    <n v="10654"/>
    <x v="28"/>
    <x v="2"/>
    <x v="1"/>
    <x v="0"/>
    <x v="1"/>
    <x v="2"/>
    <n v="3"/>
    <n v="122"/>
    <n v="366"/>
    <x v="3"/>
    <x v="3"/>
  </r>
  <r>
    <n v="10702"/>
    <x v="28"/>
    <x v="3"/>
    <x v="2"/>
    <x v="1"/>
    <x v="1"/>
    <x v="5"/>
    <n v="1"/>
    <n v="103"/>
    <n v="103"/>
    <x v="4"/>
    <x v="1"/>
  </r>
  <r>
    <n v="10704"/>
    <x v="28"/>
    <x v="0"/>
    <x v="3"/>
    <x v="1"/>
    <x v="1"/>
    <x v="2"/>
    <n v="5"/>
    <n v="150"/>
    <n v="750"/>
    <x v="2"/>
    <x v="2"/>
  </r>
  <r>
    <n v="10791"/>
    <x v="28"/>
    <x v="2"/>
    <x v="2"/>
    <x v="0"/>
    <x v="2"/>
    <x v="4"/>
    <n v="3"/>
    <n v="102"/>
    <n v="306"/>
    <x v="3"/>
    <x v="3"/>
  </r>
  <r>
    <n v="10848"/>
    <x v="29"/>
    <x v="0"/>
    <x v="3"/>
    <x v="1"/>
    <x v="0"/>
    <x v="8"/>
    <n v="2"/>
    <n v="26"/>
    <n v="52"/>
    <x v="4"/>
    <x v="1"/>
  </r>
  <r>
    <n v="10879"/>
    <x v="29"/>
    <x v="3"/>
    <x v="2"/>
    <x v="1"/>
    <x v="1"/>
    <x v="5"/>
    <n v="1"/>
    <n v="57"/>
    <n v="57"/>
    <x v="2"/>
    <x v="2"/>
  </r>
  <r>
    <n v="10252"/>
    <x v="30"/>
    <x v="1"/>
    <x v="3"/>
    <x v="1"/>
    <x v="2"/>
    <x v="3"/>
    <n v="4"/>
    <n v="115"/>
    <n v="460"/>
    <x v="3"/>
    <x v="3"/>
  </r>
  <r>
    <n v="10530"/>
    <x v="30"/>
    <x v="0"/>
    <x v="0"/>
    <x v="1"/>
    <x v="0"/>
    <x v="1"/>
    <n v="3"/>
    <n v="35"/>
    <n v="105"/>
    <x v="0"/>
    <x v="3"/>
  </r>
  <r>
    <n v="10055"/>
    <x v="31"/>
    <x v="1"/>
    <x v="3"/>
    <x v="0"/>
    <x v="2"/>
    <x v="6"/>
    <n v="2"/>
    <n v="74"/>
    <n v="148"/>
    <x v="1"/>
    <x v="3"/>
  </r>
  <r>
    <n v="10168"/>
    <x v="31"/>
    <x v="2"/>
    <x v="3"/>
    <x v="1"/>
    <x v="2"/>
    <x v="6"/>
    <n v="5"/>
    <n v="137"/>
    <n v="685"/>
    <x v="1"/>
    <x v="1"/>
  </r>
  <r>
    <n v="10301"/>
    <x v="31"/>
    <x v="1"/>
    <x v="0"/>
    <x v="0"/>
    <x v="0"/>
    <x v="0"/>
    <n v="4"/>
    <n v="111"/>
    <n v="444"/>
    <x v="0"/>
    <x v="3"/>
  </r>
  <r>
    <n v="10386"/>
    <x v="31"/>
    <x v="0"/>
    <x v="1"/>
    <x v="0"/>
    <x v="1"/>
    <x v="2"/>
    <n v="1"/>
    <n v="143"/>
    <n v="143"/>
    <x v="4"/>
    <x v="2"/>
  </r>
  <r>
    <n v="10126"/>
    <x v="32"/>
    <x v="3"/>
    <x v="1"/>
    <x v="0"/>
    <x v="2"/>
    <x v="4"/>
    <n v="3"/>
    <n v="57"/>
    <n v="171"/>
    <x v="2"/>
    <x v="2"/>
  </r>
  <r>
    <n v="10153"/>
    <x v="32"/>
    <x v="0"/>
    <x v="4"/>
    <x v="0"/>
    <x v="0"/>
    <x v="1"/>
    <n v="1"/>
    <n v="105"/>
    <n v="105"/>
    <x v="4"/>
    <x v="2"/>
  </r>
  <r>
    <n v="10398"/>
    <x v="32"/>
    <x v="2"/>
    <x v="1"/>
    <x v="0"/>
    <x v="0"/>
    <x v="1"/>
    <n v="3"/>
    <n v="62"/>
    <n v="186"/>
    <x v="2"/>
    <x v="2"/>
  </r>
  <r>
    <n v="10576"/>
    <x v="32"/>
    <x v="3"/>
    <x v="3"/>
    <x v="0"/>
    <x v="2"/>
    <x v="3"/>
    <n v="2"/>
    <n v="72"/>
    <n v="144"/>
    <x v="4"/>
    <x v="3"/>
  </r>
  <r>
    <n v="10171"/>
    <x v="33"/>
    <x v="0"/>
    <x v="0"/>
    <x v="1"/>
    <x v="1"/>
    <x v="5"/>
    <n v="1"/>
    <n v="111"/>
    <n v="111"/>
    <x v="1"/>
    <x v="2"/>
  </r>
  <r>
    <n v="10236"/>
    <x v="33"/>
    <x v="2"/>
    <x v="2"/>
    <x v="1"/>
    <x v="0"/>
    <x v="0"/>
    <n v="2"/>
    <n v="72"/>
    <n v="144"/>
    <x v="2"/>
    <x v="0"/>
  </r>
  <r>
    <n v="10281"/>
    <x v="33"/>
    <x v="0"/>
    <x v="4"/>
    <x v="1"/>
    <x v="0"/>
    <x v="1"/>
    <n v="4"/>
    <n v="101"/>
    <n v="404"/>
    <x v="3"/>
    <x v="2"/>
  </r>
  <r>
    <n v="10839"/>
    <x v="33"/>
    <x v="2"/>
    <x v="3"/>
    <x v="0"/>
    <x v="2"/>
    <x v="4"/>
    <n v="5"/>
    <n v="109"/>
    <n v="545"/>
    <x v="1"/>
    <x v="2"/>
  </r>
  <r>
    <n v="10928"/>
    <x v="33"/>
    <x v="3"/>
    <x v="3"/>
    <x v="0"/>
    <x v="0"/>
    <x v="1"/>
    <n v="3"/>
    <n v="31"/>
    <n v="93"/>
    <x v="1"/>
    <x v="3"/>
  </r>
  <r>
    <n v="10930"/>
    <x v="33"/>
    <x v="0"/>
    <x v="4"/>
    <x v="0"/>
    <x v="1"/>
    <x v="7"/>
    <n v="3"/>
    <n v="143"/>
    <n v="429"/>
    <x v="2"/>
    <x v="1"/>
  </r>
  <r>
    <n v="11186"/>
    <x v="33"/>
    <x v="1"/>
    <x v="3"/>
    <x v="0"/>
    <x v="1"/>
    <x v="2"/>
    <n v="5"/>
    <n v="55"/>
    <n v="275"/>
    <x v="3"/>
    <x v="0"/>
  </r>
  <r>
    <n v="10028"/>
    <x v="34"/>
    <x v="2"/>
    <x v="0"/>
    <x v="0"/>
    <x v="2"/>
    <x v="3"/>
    <n v="1"/>
    <n v="67"/>
    <n v="67"/>
    <x v="3"/>
    <x v="1"/>
  </r>
  <r>
    <n v="10084"/>
    <x v="35"/>
    <x v="2"/>
    <x v="0"/>
    <x v="0"/>
    <x v="0"/>
    <x v="0"/>
    <n v="3"/>
    <n v="56"/>
    <n v="168"/>
    <x v="1"/>
    <x v="2"/>
  </r>
  <r>
    <n v="10540"/>
    <x v="35"/>
    <x v="0"/>
    <x v="4"/>
    <x v="1"/>
    <x v="0"/>
    <x v="8"/>
    <n v="5"/>
    <n v="30"/>
    <n v="150"/>
    <x v="1"/>
    <x v="0"/>
  </r>
  <r>
    <n v="10659"/>
    <x v="35"/>
    <x v="2"/>
    <x v="0"/>
    <x v="0"/>
    <x v="0"/>
    <x v="1"/>
    <n v="2"/>
    <n v="79"/>
    <n v="158"/>
    <x v="3"/>
    <x v="3"/>
  </r>
  <r>
    <n v="10898"/>
    <x v="35"/>
    <x v="0"/>
    <x v="4"/>
    <x v="1"/>
    <x v="1"/>
    <x v="7"/>
    <n v="1"/>
    <n v="50"/>
    <n v="50"/>
    <x v="4"/>
    <x v="1"/>
  </r>
  <r>
    <n v="10942"/>
    <x v="35"/>
    <x v="0"/>
    <x v="0"/>
    <x v="0"/>
    <x v="1"/>
    <x v="5"/>
    <n v="4"/>
    <n v="143"/>
    <n v="572"/>
    <x v="0"/>
    <x v="1"/>
  </r>
  <r>
    <n v="10315"/>
    <x v="36"/>
    <x v="2"/>
    <x v="2"/>
    <x v="1"/>
    <x v="1"/>
    <x v="2"/>
    <n v="2"/>
    <n v="140"/>
    <n v="280"/>
    <x v="3"/>
    <x v="2"/>
  </r>
  <r>
    <n v="10917"/>
    <x v="36"/>
    <x v="1"/>
    <x v="3"/>
    <x v="0"/>
    <x v="0"/>
    <x v="0"/>
    <n v="4"/>
    <n v="26"/>
    <n v="104"/>
    <x v="2"/>
    <x v="1"/>
  </r>
  <r>
    <n v="10024"/>
    <x v="37"/>
    <x v="1"/>
    <x v="2"/>
    <x v="1"/>
    <x v="2"/>
    <x v="6"/>
    <n v="4"/>
    <n v="83"/>
    <n v="332"/>
    <x v="3"/>
    <x v="0"/>
  </r>
  <r>
    <n v="10112"/>
    <x v="37"/>
    <x v="3"/>
    <x v="0"/>
    <x v="0"/>
    <x v="0"/>
    <x v="8"/>
    <n v="1"/>
    <n v="139"/>
    <n v="139"/>
    <x v="1"/>
    <x v="2"/>
  </r>
  <r>
    <n v="10179"/>
    <x v="37"/>
    <x v="1"/>
    <x v="1"/>
    <x v="1"/>
    <x v="0"/>
    <x v="8"/>
    <n v="3"/>
    <n v="34"/>
    <n v="102"/>
    <x v="3"/>
    <x v="1"/>
  </r>
  <r>
    <n v="10340"/>
    <x v="37"/>
    <x v="2"/>
    <x v="4"/>
    <x v="1"/>
    <x v="1"/>
    <x v="5"/>
    <n v="1"/>
    <n v="86"/>
    <n v="86"/>
    <x v="2"/>
    <x v="1"/>
  </r>
  <r>
    <n v="10415"/>
    <x v="37"/>
    <x v="1"/>
    <x v="1"/>
    <x v="1"/>
    <x v="0"/>
    <x v="8"/>
    <n v="4"/>
    <n v="62"/>
    <n v="248"/>
    <x v="4"/>
    <x v="2"/>
  </r>
  <r>
    <n v="10549"/>
    <x v="38"/>
    <x v="0"/>
    <x v="3"/>
    <x v="1"/>
    <x v="0"/>
    <x v="8"/>
    <n v="5"/>
    <n v="75"/>
    <n v="375"/>
    <x v="2"/>
    <x v="0"/>
  </r>
  <r>
    <n v="10993"/>
    <x v="38"/>
    <x v="0"/>
    <x v="4"/>
    <x v="1"/>
    <x v="1"/>
    <x v="7"/>
    <n v="5"/>
    <n v="83"/>
    <n v="415"/>
    <x v="1"/>
    <x v="3"/>
  </r>
  <r>
    <n v="11048"/>
    <x v="38"/>
    <x v="0"/>
    <x v="4"/>
    <x v="0"/>
    <x v="2"/>
    <x v="4"/>
    <n v="3"/>
    <n v="111"/>
    <n v="333"/>
    <x v="3"/>
    <x v="0"/>
  </r>
  <r>
    <n v="11088"/>
    <x v="38"/>
    <x v="3"/>
    <x v="1"/>
    <x v="0"/>
    <x v="2"/>
    <x v="3"/>
    <n v="5"/>
    <n v="70"/>
    <n v="350"/>
    <x v="3"/>
    <x v="1"/>
  </r>
  <r>
    <n v="11146"/>
    <x v="38"/>
    <x v="3"/>
    <x v="4"/>
    <x v="0"/>
    <x v="1"/>
    <x v="7"/>
    <n v="2"/>
    <n v="87"/>
    <n v="174"/>
    <x v="2"/>
    <x v="0"/>
  </r>
  <r>
    <n v="10939"/>
    <x v="39"/>
    <x v="0"/>
    <x v="3"/>
    <x v="0"/>
    <x v="0"/>
    <x v="0"/>
    <n v="3"/>
    <n v="143"/>
    <n v="429"/>
    <x v="0"/>
    <x v="3"/>
  </r>
  <r>
    <n v="11085"/>
    <x v="40"/>
    <x v="0"/>
    <x v="3"/>
    <x v="0"/>
    <x v="2"/>
    <x v="4"/>
    <n v="3"/>
    <n v="123"/>
    <n v="369"/>
    <x v="1"/>
    <x v="1"/>
  </r>
  <r>
    <n v="10059"/>
    <x v="41"/>
    <x v="1"/>
    <x v="0"/>
    <x v="0"/>
    <x v="1"/>
    <x v="2"/>
    <n v="5"/>
    <n v="26"/>
    <n v="130"/>
    <x v="0"/>
    <x v="0"/>
  </r>
  <r>
    <n v="10583"/>
    <x v="42"/>
    <x v="1"/>
    <x v="2"/>
    <x v="1"/>
    <x v="2"/>
    <x v="3"/>
    <n v="4"/>
    <n v="112"/>
    <n v="448"/>
    <x v="2"/>
    <x v="3"/>
  </r>
  <r>
    <n v="10656"/>
    <x v="42"/>
    <x v="1"/>
    <x v="0"/>
    <x v="1"/>
    <x v="2"/>
    <x v="3"/>
    <n v="3"/>
    <n v="144"/>
    <n v="432"/>
    <x v="3"/>
    <x v="1"/>
  </r>
  <r>
    <n v="10777"/>
    <x v="42"/>
    <x v="2"/>
    <x v="3"/>
    <x v="1"/>
    <x v="2"/>
    <x v="6"/>
    <n v="5"/>
    <n v="137"/>
    <n v="685"/>
    <x v="4"/>
    <x v="3"/>
  </r>
  <r>
    <n v="10954"/>
    <x v="42"/>
    <x v="1"/>
    <x v="4"/>
    <x v="0"/>
    <x v="0"/>
    <x v="0"/>
    <n v="1"/>
    <n v="95"/>
    <n v="95"/>
    <x v="3"/>
    <x v="2"/>
  </r>
  <r>
    <n v="11009"/>
    <x v="42"/>
    <x v="3"/>
    <x v="3"/>
    <x v="1"/>
    <x v="2"/>
    <x v="6"/>
    <n v="4"/>
    <n v="70"/>
    <n v="280"/>
    <x v="2"/>
    <x v="0"/>
  </r>
  <r>
    <n v="11068"/>
    <x v="42"/>
    <x v="2"/>
    <x v="2"/>
    <x v="0"/>
    <x v="0"/>
    <x v="0"/>
    <n v="2"/>
    <n v="88"/>
    <n v="176"/>
    <x v="3"/>
    <x v="0"/>
  </r>
  <r>
    <n v="10602"/>
    <x v="43"/>
    <x v="1"/>
    <x v="0"/>
    <x v="0"/>
    <x v="0"/>
    <x v="0"/>
    <n v="3"/>
    <n v="125"/>
    <n v="375"/>
    <x v="2"/>
    <x v="2"/>
  </r>
  <r>
    <n v="10646"/>
    <x v="43"/>
    <x v="3"/>
    <x v="3"/>
    <x v="1"/>
    <x v="0"/>
    <x v="1"/>
    <n v="1"/>
    <n v="50"/>
    <n v="50"/>
    <x v="3"/>
    <x v="1"/>
  </r>
  <r>
    <n v="10804"/>
    <x v="43"/>
    <x v="3"/>
    <x v="0"/>
    <x v="1"/>
    <x v="0"/>
    <x v="1"/>
    <n v="4"/>
    <n v="97"/>
    <n v="388"/>
    <x v="0"/>
    <x v="0"/>
  </r>
  <r>
    <n v="11158"/>
    <x v="43"/>
    <x v="0"/>
    <x v="0"/>
    <x v="1"/>
    <x v="1"/>
    <x v="2"/>
    <n v="5"/>
    <n v="59"/>
    <n v="295"/>
    <x v="2"/>
    <x v="0"/>
  </r>
  <r>
    <n v="10515"/>
    <x v="44"/>
    <x v="1"/>
    <x v="1"/>
    <x v="0"/>
    <x v="1"/>
    <x v="5"/>
    <n v="5"/>
    <n v="78"/>
    <n v="390"/>
    <x v="2"/>
    <x v="2"/>
  </r>
  <r>
    <n v="10772"/>
    <x v="44"/>
    <x v="1"/>
    <x v="0"/>
    <x v="0"/>
    <x v="0"/>
    <x v="1"/>
    <n v="5"/>
    <n v="78"/>
    <n v="390"/>
    <x v="0"/>
    <x v="0"/>
  </r>
  <r>
    <n v="10792"/>
    <x v="44"/>
    <x v="2"/>
    <x v="0"/>
    <x v="1"/>
    <x v="1"/>
    <x v="7"/>
    <n v="2"/>
    <n v="122"/>
    <n v="244"/>
    <x v="2"/>
    <x v="3"/>
  </r>
  <r>
    <n v="10847"/>
    <x v="44"/>
    <x v="3"/>
    <x v="1"/>
    <x v="0"/>
    <x v="1"/>
    <x v="7"/>
    <n v="2"/>
    <n v="85"/>
    <n v="170"/>
    <x v="0"/>
    <x v="0"/>
  </r>
  <r>
    <n v="10229"/>
    <x v="45"/>
    <x v="1"/>
    <x v="4"/>
    <x v="0"/>
    <x v="2"/>
    <x v="3"/>
    <n v="2"/>
    <n v="145"/>
    <n v="290"/>
    <x v="0"/>
    <x v="3"/>
  </r>
  <r>
    <n v="10418"/>
    <x v="45"/>
    <x v="0"/>
    <x v="2"/>
    <x v="1"/>
    <x v="2"/>
    <x v="3"/>
    <n v="5"/>
    <n v="20"/>
    <n v="100"/>
    <x v="2"/>
    <x v="2"/>
  </r>
  <r>
    <n v="10459"/>
    <x v="45"/>
    <x v="1"/>
    <x v="1"/>
    <x v="1"/>
    <x v="2"/>
    <x v="6"/>
    <n v="5"/>
    <n v="150"/>
    <n v="750"/>
    <x v="0"/>
    <x v="1"/>
  </r>
  <r>
    <n v="10582"/>
    <x v="45"/>
    <x v="0"/>
    <x v="1"/>
    <x v="1"/>
    <x v="1"/>
    <x v="2"/>
    <n v="2"/>
    <n v="136"/>
    <n v="272"/>
    <x v="3"/>
    <x v="0"/>
  </r>
  <r>
    <n v="10795"/>
    <x v="45"/>
    <x v="1"/>
    <x v="1"/>
    <x v="1"/>
    <x v="1"/>
    <x v="2"/>
    <n v="5"/>
    <n v="128"/>
    <n v="640"/>
    <x v="2"/>
    <x v="3"/>
  </r>
  <r>
    <n v="10001"/>
    <x v="46"/>
    <x v="3"/>
    <x v="0"/>
    <x v="1"/>
    <x v="0"/>
    <x v="8"/>
    <n v="1"/>
    <n v="27"/>
    <n v="27"/>
    <x v="1"/>
    <x v="1"/>
  </r>
  <r>
    <n v="10048"/>
    <x v="46"/>
    <x v="3"/>
    <x v="1"/>
    <x v="1"/>
    <x v="1"/>
    <x v="2"/>
    <n v="5"/>
    <n v="105"/>
    <n v="525"/>
    <x v="0"/>
    <x v="1"/>
  </r>
  <r>
    <n v="10409"/>
    <x v="46"/>
    <x v="0"/>
    <x v="1"/>
    <x v="1"/>
    <x v="1"/>
    <x v="5"/>
    <n v="4"/>
    <n v="88"/>
    <n v="352"/>
    <x v="3"/>
    <x v="3"/>
  </r>
  <r>
    <n v="10828"/>
    <x v="46"/>
    <x v="0"/>
    <x v="2"/>
    <x v="0"/>
    <x v="0"/>
    <x v="1"/>
    <n v="3"/>
    <n v="74"/>
    <n v="222"/>
    <x v="0"/>
    <x v="0"/>
  </r>
  <r>
    <n v="11086"/>
    <x v="46"/>
    <x v="1"/>
    <x v="1"/>
    <x v="0"/>
    <x v="0"/>
    <x v="8"/>
    <n v="2"/>
    <n v="33"/>
    <n v="66"/>
    <x v="0"/>
    <x v="1"/>
  </r>
  <r>
    <n v="10871"/>
    <x v="47"/>
    <x v="1"/>
    <x v="2"/>
    <x v="1"/>
    <x v="2"/>
    <x v="3"/>
    <n v="5"/>
    <n v="132"/>
    <n v="660"/>
    <x v="3"/>
    <x v="0"/>
  </r>
  <r>
    <n v="10978"/>
    <x v="48"/>
    <x v="0"/>
    <x v="3"/>
    <x v="1"/>
    <x v="1"/>
    <x v="2"/>
    <n v="2"/>
    <n v="34"/>
    <n v="68"/>
    <x v="3"/>
    <x v="0"/>
  </r>
  <r>
    <n v="11162"/>
    <x v="48"/>
    <x v="3"/>
    <x v="2"/>
    <x v="0"/>
    <x v="0"/>
    <x v="0"/>
    <n v="4"/>
    <n v="131"/>
    <n v="524"/>
    <x v="4"/>
    <x v="2"/>
  </r>
  <r>
    <n v="10127"/>
    <x v="49"/>
    <x v="2"/>
    <x v="2"/>
    <x v="1"/>
    <x v="1"/>
    <x v="2"/>
    <n v="5"/>
    <n v="130"/>
    <n v="650"/>
    <x v="2"/>
    <x v="3"/>
  </r>
  <r>
    <n v="10735"/>
    <x v="49"/>
    <x v="2"/>
    <x v="4"/>
    <x v="0"/>
    <x v="2"/>
    <x v="3"/>
    <n v="2"/>
    <n v="27"/>
    <n v="54"/>
    <x v="3"/>
    <x v="1"/>
  </r>
  <r>
    <n v="10075"/>
    <x v="50"/>
    <x v="3"/>
    <x v="1"/>
    <x v="1"/>
    <x v="0"/>
    <x v="1"/>
    <n v="5"/>
    <n v="92"/>
    <n v="460"/>
    <x v="4"/>
    <x v="1"/>
  </r>
  <r>
    <n v="10814"/>
    <x v="50"/>
    <x v="1"/>
    <x v="3"/>
    <x v="0"/>
    <x v="2"/>
    <x v="4"/>
    <n v="2"/>
    <n v="145"/>
    <n v="290"/>
    <x v="0"/>
    <x v="1"/>
  </r>
  <r>
    <n v="11114"/>
    <x v="51"/>
    <x v="0"/>
    <x v="0"/>
    <x v="1"/>
    <x v="2"/>
    <x v="4"/>
    <n v="3"/>
    <n v="120"/>
    <n v="360"/>
    <x v="2"/>
    <x v="3"/>
  </r>
  <r>
    <n v="10411"/>
    <x v="52"/>
    <x v="1"/>
    <x v="2"/>
    <x v="0"/>
    <x v="0"/>
    <x v="1"/>
    <n v="1"/>
    <n v="60"/>
    <n v="60"/>
    <x v="1"/>
    <x v="3"/>
  </r>
  <r>
    <n v="10671"/>
    <x v="52"/>
    <x v="2"/>
    <x v="2"/>
    <x v="1"/>
    <x v="1"/>
    <x v="2"/>
    <n v="4"/>
    <n v="31"/>
    <n v="124"/>
    <x v="0"/>
    <x v="0"/>
  </r>
  <r>
    <n v="10995"/>
    <x v="52"/>
    <x v="2"/>
    <x v="0"/>
    <x v="0"/>
    <x v="2"/>
    <x v="6"/>
    <n v="2"/>
    <n v="116"/>
    <n v="232"/>
    <x v="1"/>
    <x v="3"/>
  </r>
  <r>
    <n v="10421"/>
    <x v="53"/>
    <x v="0"/>
    <x v="2"/>
    <x v="1"/>
    <x v="2"/>
    <x v="6"/>
    <n v="2"/>
    <n v="124"/>
    <n v="248"/>
    <x v="0"/>
    <x v="0"/>
  </r>
  <r>
    <n v="10542"/>
    <x v="53"/>
    <x v="0"/>
    <x v="3"/>
    <x v="0"/>
    <x v="0"/>
    <x v="1"/>
    <n v="5"/>
    <n v="126"/>
    <n v="630"/>
    <x v="3"/>
    <x v="1"/>
  </r>
  <r>
    <n v="10661"/>
    <x v="53"/>
    <x v="2"/>
    <x v="3"/>
    <x v="1"/>
    <x v="0"/>
    <x v="0"/>
    <n v="5"/>
    <n v="36"/>
    <n v="180"/>
    <x v="3"/>
    <x v="1"/>
  </r>
  <r>
    <n v="10964"/>
    <x v="53"/>
    <x v="1"/>
    <x v="4"/>
    <x v="1"/>
    <x v="2"/>
    <x v="4"/>
    <n v="2"/>
    <n v="42"/>
    <n v="84"/>
    <x v="4"/>
    <x v="3"/>
  </r>
  <r>
    <n v="10132"/>
    <x v="54"/>
    <x v="0"/>
    <x v="2"/>
    <x v="0"/>
    <x v="2"/>
    <x v="3"/>
    <n v="4"/>
    <n v="77"/>
    <n v="308"/>
    <x v="3"/>
    <x v="2"/>
  </r>
  <r>
    <n v="10215"/>
    <x v="54"/>
    <x v="3"/>
    <x v="0"/>
    <x v="1"/>
    <x v="0"/>
    <x v="1"/>
    <n v="3"/>
    <n v="55"/>
    <n v="165"/>
    <x v="1"/>
    <x v="1"/>
  </r>
  <r>
    <n v="10276"/>
    <x v="54"/>
    <x v="3"/>
    <x v="1"/>
    <x v="1"/>
    <x v="1"/>
    <x v="2"/>
    <n v="5"/>
    <n v="41"/>
    <n v="205"/>
    <x v="1"/>
    <x v="0"/>
  </r>
  <r>
    <n v="10167"/>
    <x v="55"/>
    <x v="0"/>
    <x v="0"/>
    <x v="0"/>
    <x v="2"/>
    <x v="3"/>
    <n v="5"/>
    <n v="128"/>
    <n v="640"/>
    <x v="3"/>
    <x v="0"/>
  </r>
  <r>
    <n v="10520"/>
    <x v="55"/>
    <x v="1"/>
    <x v="2"/>
    <x v="0"/>
    <x v="2"/>
    <x v="4"/>
    <n v="2"/>
    <n v="94"/>
    <n v="188"/>
    <x v="4"/>
    <x v="3"/>
  </r>
  <r>
    <n v="10673"/>
    <x v="55"/>
    <x v="0"/>
    <x v="0"/>
    <x v="1"/>
    <x v="0"/>
    <x v="1"/>
    <n v="3"/>
    <n v="78"/>
    <n v="234"/>
    <x v="0"/>
    <x v="3"/>
  </r>
  <r>
    <n v="10372"/>
    <x v="56"/>
    <x v="1"/>
    <x v="0"/>
    <x v="1"/>
    <x v="2"/>
    <x v="3"/>
    <n v="5"/>
    <n v="127"/>
    <n v="635"/>
    <x v="1"/>
    <x v="0"/>
  </r>
  <r>
    <n v="10559"/>
    <x v="56"/>
    <x v="2"/>
    <x v="0"/>
    <x v="1"/>
    <x v="0"/>
    <x v="8"/>
    <n v="2"/>
    <n v="41"/>
    <n v="82"/>
    <x v="4"/>
    <x v="0"/>
  </r>
  <r>
    <n v="10603"/>
    <x v="56"/>
    <x v="0"/>
    <x v="4"/>
    <x v="1"/>
    <x v="2"/>
    <x v="3"/>
    <n v="3"/>
    <n v="64"/>
    <n v="192"/>
    <x v="3"/>
    <x v="3"/>
  </r>
  <r>
    <n v="10691"/>
    <x v="56"/>
    <x v="3"/>
    <x v="3"/>
    <x v="1"/>
    <x v="2"/>
    <x v="4"/>
    <n v="2"/>
    <n v="90"/>
    <n v="180"/>
    <x v="0"/>
    <x v="0"/>
  </r>
  <r>
    <n v="10093"/>
    <x v="57"/>
    <x v="1"/>
    <x v="4"/>
    <x v="1"/>
    <x v="0"/>
    <x v="8"/>
    <n v="1"/>
    <n v="77"/>
    <n v="77"/>
    <x v="2"/>
    <x v="2"/>
  </r>
  <r>
    <n v="10850"/>
    <x v="57"/>
    <x v="0"/>
    <x v="4"/>
    <x v="0"/>
    <x v="1"/>
    <x v="2"/>
    <n v="5"/>
    <n v="118"/>
    <n v="590"/>
    <x v="2"/>
    <x v="3"/>
  </r>
  <r>
    <n v="10918"/>
    <x v="57"/>
    <x v="3"/>
    <x v="1"/>
    <x v="0"/>
    <x v="1"/>
    <x v="7"/>
    <n v="1"/>
    <n v="84"/>
    <n v="84"/>
    <x v="2"/>
    <x v="3"/>
  </r>
  <r>
    <n v="11089"/>
    <x v="57"/>
    <x v="1"/>
    <x v="1"/>
    <x v="1"/>
    <x v="1"/>
    <x v="7"/>
    <n v="4"/>
    <n v="101"/>
    <n v="404"/>
    <x v="2"/>
    <x v="1"/>
  </r>
  <r>
    <n v="11093"/>
    <x v="57"/>
    <x v="3"/>
    <x v="3"/>
    <x v="0"/>
    <x v="1"/>
    <x v="2"/>
    <n v="4"/>
    <n v="105"/>
    <n v="420"/>
    <x v="4"/>
    <x v="1"/>
  </r>
  <r>
    <n v="11141"/>
    <x v="57"/>
    <x v="2"/>
    <x v="4"/>
    <x v="0"/>
    <x v="0"/>
    <x v="0"/>
    <n v="1"/>
    <n v="76"/>
    <n v="76"/>
    <x v="0"/>
    <x v="0"/>
  </r>
  <r>
    <n v="11181"/>
    <x v="57"/>
    <x v="2"/>
    <x v="4"/>
    <x v="0"/>
    <x v="2"/>
    <x v="4"/>
    <n v="5"/>
    <n v="84"/>
    <n v="420"/>
    <x v="4"/>
    <x v="0"/>
  </r>
  <r>
    <n v="10408"/>
    <x v="58"/>
    <x v="2"/>
    <x v="4"/>
    <x v="1"/>
    <x v="1"/>
    <x v="5"/>
    <n v="3"/>
    <n v="129"/>
    <n v="387"/>
    <x v="0"/>
    <x v="1"/>
  </r>
  <r>
    <n v="10079"/>
    <x v="59"/>
    <x v="1"/>
    <x v="2"/>
    <x v="1"/>
    <x v="0"/>
    <x v="8"/>
    <n v="1"/>
    <n v="83"/>
    <n v="83"/>
    <x v="1"/>
    <x v="3"/>
  </r>
  <r>
    <n v="10295"/>
    <x v="59"/>
    <x v="3"/>
    <x v="0"/>
    <x v="0"/>
    <x v="1"/>
    <x v="5"/>
    <n v="1"/>
    <n v="132"/>
    <n v="132"/>
    <x v="1"/>
    <x v="3"/>
  </r>
  <r>
    <n v="10417"/>
    <x v="59"/>
    <x v="1"/>
    <x v="4"/>
    <x v="1"/>
    <x v="2"/>
    <x v="6"/>
    <n v="4"/>
    <n v="100"/>
    <n v="400"/>
    <x v="2"/>
    <x v="3"/>
  </r>
  <r>
    <n v="10473"/>
    <x v="59"/>
    <x v="2"/>
    <x v="3"/>
    <x v="1"/>
    <x v="0"/>
    <x v="1"/>
    <n v="1"/>
    <n v="148"/>
    <n v="148"/>
    <x v="1"/>
    <x v="0"/>
  </r>
  <r>
    <n v="10720"/>
    <x v="59"/>
    <x v="3"/>
    <x v="0"/>
    <x v="1"/>
    <x v="2"/>
    <x v="3"/>
    <n v="3"/>
    <n v="27"/>
    <n v="81"/>
    <x v="0"/>
    <x v="2"/>
  </r>
  <r>
    <n v="10836"/>
    <x v="59"/>
    <x v="1"/>
    <x v="4"/>
    <x v="1"/>
    <x v="1"/>
    <x v="7"/>
    <n v="2"/>
    <n v="114"/>
    <n v="228"/>
    <x v="4"/>
    <x v="2"/>
  </r>
  <r>
    <n v="11187"/>
    <x v="59"/>
    <x v="1"/>
    <x v="0"/>
    <x v="1"/>
    <x v="2"/>
    <x v="3"/>
    <n v="3"/>
    <n v="45"/>
    <n v="135"/>
    <x v="1"/>
    <x v="2"/>
  </r>
  <r>
    <n v="10074"/>
    <x v="60"/>
    <x v="3"/>
    <x v="0"/>
    <x v="1"/>
    <x v="2"/>
    <x v="3"/>
    <n v="2"/>
    <n v="100"/>
    <n v="200"/>
    <x v="2"/>
    <x v="2"/>
  </r>
  <r>
    <n v="10495"/>
    <x v="60"/>
    <x v="2"/>
    <x v="3"/>
    <x v="1"/>
    <x v="0"/>
    <x v="8"/>
    <n v="2"/>
    <n v="47"/>
    <n v="94"/>
    <x v="1"/>
    <x v="0"/>
  </r>
  <r>
    <n v="10498"/>
    <x v="60"/>
    <x v="1"/>
    <x v="1"/>
    <x v="1"/>
    <x v="1"/>
    <x v="2"/>
    <n v="2"/>
    <n v="137"/>
    <n v="274"/>
    <x v="3"/>
    <x v="1"/>
  </r>
  <r>
    <n v="10662"/>
    <x v="60"/>
    <x v="3"/>
    <x v="1"/>
    <x v="1"/>
    <x v="1"/>
    <x v="5"/>
    <n v="4"/>
    <n v="103"/>
    <n v="412"/>
    <x v="3"/>
    <x v="1"/>
  </r>
  <r>
    <n v="10731"/>
    <x v="60"/>
    <x v="3"/>
    <x v="3"/>
    <x v="0"/>
    <x v="1"/>
    <x v="5"/>
    <n v="5"/>
    <n v="41"/>
    <n v="205"/>
    <x v="1"/>
    <x v="0"/>
  </r>
  <r>
    <n v="10849"/>
    <x v="60"/>
    <x v="2"/>
    <x v="0"/>
    <x v="1"/>
    <x v="1"/>
    <x v="5"/>
    <n v="3"/>
    <n v="116"/>
    <n v="348"/>
    <x v="1"/>
    <x v="1"/>
  </r>
  <r>
    <n v="11122"/>
    <x v="60"/>
    <x v="2"/>
    <x v="3"/>
    <x v="1"/>
    <x v="1"/>
    <x v="7"/>
    <n v="3"/>
    <n v="127"/>
    <n v="381"/>
    <x v="1"/>
    <x v="2"/>
  </r>
  <r>
    <n v="10119"/>
    <x v="61"/>
    <x v="1"/>
    <x v="4"/>
    <x v="1"/>
    <x v="2"/>
    <x v="6"/>
    <n v="3"/>
    <n v="68"/>
    <n v="204"/>
    <x v="1"/>
    <x v="0"/>
  </r>
  <r>
    <n v="10184"/>
    <x v="61"/>
    <x v="3"/>
    <x v="4"/>
    <x v="0"/>
    <x v="0"/>
    <x v="8"/>
    <n v="4"/>
    <n v="71"/>
    <n v="284"/>
    <x v="0"/>
    <x v="3"/>
  </r>
  <r>
    <n v="10213"/>
    <x v="61"/>
    <x v="1"/>
    <x v="3"/>
    <x v="0"/>
    <x v="1"/>
    <x v="2"/>
    <n v="3"/>
    <n v="93"/>
    <n v="279"/>
    <x v="0"/>
    <x v="2"/>
  </r>
  <r>
    <n v="10339"/>
    <x v="61"/>
    <x v="2"/>
    <x v="4"/>
    <x v="1"/>
    <x v="2"/>
    <x v="6"/>
    <n v="1"/>
    <n v="55"/>
    <n v="55"/>
    <x v="0"/>
    <x v="1"/>
  </r>
  <r>
    <n v="10820"/>
    <x v="61"/>
    <x v="3"/>
    <x v="3"/>
    <x v="0"/>
    <x v="0"/>
    <x v="8"/>
    <n v="3"/>
    <n v="55"/>
    <n v="165"/>
    <x v="3"/>
    <x v="1"/>
  </r>
  <r>
    <n v="10303"/>
    <x v="62"/>
    <x v="3"/>
    <x v="3"/>
    <x v="0"/>
    <x v="2"/>
    <x v="4"/>
    <n v="4"/>
    <n v="24"/>
    <n v="96"/>
    <x v="3"/>
    <x v="3"/>
  </r>
  <r>
    <n v="10723"/>
    <x v="62"/>
    <x v="3"/>
    <x v="2"/>
    <x v="1"/>
    <x v="2"/>
    <x v="6"/>
    <n v="1"/>
    <n v="44"/>
    <n v="44"/>
    <x v="0"/>
    <x v="2"/>
  </r>
  <r>
    <n v="10786"/>
    <x v="62"/>
    <x v="0"/>
    <x v="4"/>
    <x v="1"/>
    <x v="1"/>
    <x v="5"/>
    <n v="1"/>
    <n v="57"/>
    <n v="57"/>
    <x v="4"/>
    <x v="1"/>
  </r>
  <r>
    <n v="10830"/>
    <x v="62"/>
    <x v="2"/>
    <x v="4"/>
    <x v="0"/>
    <x v="1"/>
    <x v="2"/>
    <n v="5"/>
    <n v="110"/>
    <n v="550"/>
    <x v="4"/>
    <x v="0"/>
  </r>
  <r>
    <n v="11092"/>
    <x v="62"/>
    <x v="1"/>
    <x v="3"/>
    <x v="0"/>
    <x v="2"/>
    <x v="6"/>
    <n v="3"/>
    <n v="148"/>
    <n v="444"/>
    <x v="2"/>
    <x v="2"/>
  </r>
  <r>
    <n v="10180"/>
    <x v="63"/>
    <x v="2"/>
    <x v="0"/>
    <x v="0"/>
    <x v="0"/>
    <x v="1"/>
    <n v="4"/>
    <n v="28"/>
    <n v="112"/>
    <x v="4"/>
    <x v="3"/>
  </r>
  <r>
    <n v="10191"/>
    <x v="63"/>
    <x v="0"/>
    <x v="2"/>
    <x v="1"/>
    <x v="2"/>
    <x v="6"/>
    <n v="2"/>
    <n v="90"/>
    <n v="180"/>
    <x v="1"/>
    <x v="1"/>
  </r>
  <r>
    <n v="10189"/>
    <x v="64"/>
    <x v="3"/>
    <x v="0"/>
    <x v="0"/>
    <x v="1"/>
    <x v="2"/>
    <n v="5"/>
    <n v="108"/>
    <n v="540"/>
    <x v="1"/>
    <x v="0"/>
  </r>
  <r>
    <n v="10203"/>
    <x v="64"/>
    <x v="2"/>
    <x v="3"/>
    <x v="0"/>
    <x v="0"/>
    <x v="8"/>
    <n v="5"/>
    <n v="50"/>
    <n v="250"/>
    <x v="4"/>
    <x v="2"/>
  </r>
  <r>
    <n v="10742"/>
    <x v="64"/>
    <x v="0"/>
    <x v="1"/>
    <x v="1"/>
    <x v="2"/>
    <x v="4"/>
    <n v="5"/>
    <n v="31"/>
    <n v="155"/>
    <x v="4"/>
    <x v="3"/>
  </r>
  <r>
    <n v="10864"/>
    <x v="64"/>
    <x v="0"/>
    <x v="2"/>
    <x v="1"/>
    <x v="2"/>
    <x v="3"/>
    <n v="2"/>
    <n v="36"/>
    <n v="72"/>
    <x v="1"/>
    <x v="2"/>
  </r>
  <r>
    <n v="10872"/>
    <x v="64"/>
    <x v="2"/>
    <x v="3"/>
    <x v="1"/>
    <x v="2"/>
    <x v="6"/>
    <n v="3"/>
    <n v="36"/>
    <n v="108"/>
    <x v="4"/>
    <x v="3"/>
  </r>
  <r>
    <n v="10968"/>
    <x v="64"/>
    <x v="0"/>
    <x v="3"/>
    <x v="1"/>
    <x v="0"/>
    <x v="0"/>
    <n v="5"/>
    <n v="114"/>
    <n v="570"/>
    <x v="4"/>
    <x v="0"/>
  </r>
  <r>
    <n v="10775"/>
    <x v="65"/>
    <x v="1"/>
    <x v="0"/>
    <x v="1"/>
    <x v="1"/>
    <x v="5"/>
    <n v="4"/>
    <n v="117"/>
    <n v="468"/>
    <x v="4"/>
    <x v="1"/>
  </r>
  <r>
    <n v="10833"/>
    <x v="65"/>
    <x v="1"/>
    <x v="0"/>
    <x v="0"/>
    <x v="2"/>
    <x v="4"/>
    <n v="1"/>
    <n v="128"/>
    <n v="128"/>
    <x v="3"/>
    <x v="2"/>
  </r>
  <r>
    <n v="10110"/>
    <x v="66"/>
    <x v="2"/>
    <x v="1"/>
    <x v="0"/>
    <x v="1"/>
    <x v="7"/>
    <n v="5"/>
    <n v="113"/>
    <n v="565"/>
    <x v="2"/>
    <x v="1"/>
  </r>
  <r>
    <n v="10306"/>
    <x v="66"/>
    <x v="3"/>
    <x v="2"/>
    <x v="0"/>
    <x v="2"/>
    <x v="4"/>
    <n v="4"/>
    <n v="39"/>
    <n v="156"/>
    <x v="3"/>
    <x v="0"/>
  </r>
  <r>
    <n v="10781"/>
    <x v="66"/>
    <x v="2"/>
    <x v="1"/>
    <x v="0"/>
    <x v="0"/>
    <x v="8"/>
    <n v="3"/>
    <n v="139"/>
    <n v="417"/>
    <x v="0"/>
    <x v="2"/>
  </r>
  <r>
    <n v="10220"/>
    <x v="67"/>
    <x v="1"/>
    <x v="1"/>
    <x v="1"/>
    <x v="1"/>
    <x v="2"/>
    <n v="5"/>
    <n v="146"/>
    <n v="730"/>
    <x v="3"/>
    <x v="2"/>
  </r>
  <r>
    <n v="10423"/>
    <x v="67"/>
    <x v="1"/>
    <x v="4"/>
    <x v="1"/>
    <x v="1"/>
    <x v="5"/>
    <n v="5"/>
    <n v="149"/>
    <n v="745"/>
    <x v="1"/>
    <x v="3"/>
  </r>
  <r>
    <n v="10664"/>
    <x v="67"/>
    <x v="2"/>
    <x v="2"/>
    <x v="0"/>
    <x v="1"/>
    <x v="7"/>
    <n v="5"/>
    <n v="30"/>
    <n v="150"/>
    <x v="0"/>
    <x v="0"/>
  </r>
  <r>
    <n v="11056"/>
    <x v="67"/>
    <x v="2"/>
    <x v="4"/>
    <x v="0"/>
    <x v="2"/>
    <x v="4"/>
    <n v="3"/>
    <n v="141"/>
    <n v="423"/>
    <x v="4"/>
    <x v="1"/>
  </r>
  <r>
    <n v="10095"/>
    <x v="68"/>
    <x v="2"/>
    <x v="1"/>
    <x v="0"/>
    <x v="1"/>
    <x v="7"/>
    <n v="5"/>
    <n v="150"/>
    <n v="750"/>
    <x v="4"/>
    <x v="2"/>
  </r>
  <r>
    <n v="10344"/>
    <x v="69"/>
    <x v="1"/>
    <x v="0"/>
    <x v="1"/>
    <x v="2"/>
    <x v="4"/>
    <n v="3"/>
    <n v="118"/>
    <n v="354"/>
    <x v="1"/>
    <x v="0"/>
  </r>
  <r>
    <n v="10250"/>
    <x v="70"/>
    <x v="1"/>
    <x v="0"/>
    <x v="1"/>
    <x v="2"/>
    <x v="3"/>
    <n v="3"/>
    <n v="63"/>
    <n v="189"/>
    <x v="1"/>
    <x v="0"/>
  </r>
  <r>
    <n v="10260"/>
    <x v="70"/>
    <x v="2"/>
    <x v="2"/>
    <x v="0"/>
    <x v="0"/>
    <x v="1"/>
    <n v="3"/>
    <n v="118"/>
    <n v="354"/>
    <x v="3"/>
    <x v="0"/>
  </r>
  <r>
    <n v="10274"/>
    <x v="70"/>
    <x v="0"/>
    <x v="0"/>
    <x v="0"/>
    <x v="0"/>
    <x v="0"/>
    <n v="4"/>
    <n v="147"/>
    <n v="588"/>
    <x v="0"/>
    <x v="3"/>
  </r>
  <r>
    <n v="10625"/>
    <x v="70"/>
    <x v="3"/>
    <x v="2"/>
    <x v="0"/>
    <x v="0"/>
    <x v="0"/>
    <n v="2"/>
    <n v="141"/>
    <n v="282"/>
    <x v="4"/>
    <x v="3"/>
  </r>
  <r>
    <n v="10856"/>
    <x v="70"/>
    <x v="0"/>
    <x v="3"/>
    <x v="1"/>
    <x v="1"/>
    <x v="7"/>
    <n v="4"/>
    <n v="51"/>
    <n v="204"/>
    <x v="1"/>
    <x v="2"/>
  </r>
  <r>
    <n v="10299"/>
    <x v="71"/>
    <x v="0"/>
    <x v="3"/>
    <x v="0"/>
    <x v="2"/>
    <x v="3"/>
    <n v="4"/>
    <n v="145"/>
    <n v="580"/>
    <x v="2"/>
    <x v="0"/>
  </r>
  <r>
    <n v="10663"/>
    <x v="71"/>
    <x v="1"/>
    <x v="0"/>
    <x v="0"/>
    <x v="1"/>
    <x v="7"/>
    <n v="1"/>
    <n v="90"/>
    <n v="90"/>
    <x v="1"/>
    <x v="1"/>
  </r>
  <r>
    <n v="10884"/>
    <x v="71"/>
    <x v="0"/>
    <x v="3"/>
    <x v="1"/>
    <x v="1"/>
    <x v="7"/>
    <n v="5"/>
    <n v="49"/>
    <n v="245"/>
    <x v="1"/>
    <x v="2"/>
  </r>
  <r>
    <n v="10134"/>
    <x v="72"/>
    <x v="1"/>
    <x v="4"/>
    <x v="1"/>
    <x v="1"/>
    <x v="5"/>
    <n v="1"/>
    <n v="66"/>
    <n v="66"/>
    <x v="3"/>
    <x v="0"/>
  </r>
  <r>
    <n v="10998"/>
    <x v="72"/>
    <x v="1"/>
    <x v="2"/>
    <x v="0"/>
    <x v="0"/>
    <x v="1"/>
    <n v="2"/>
    <n v="52"/>
    <n v="104"/>
    <x v="3"/>
    <x v="2"/>
  </r>
  <r>
    <n v="11043"/>
    <x v="72"/>
    <x v="2"/>
    <x v="4"/>
    <x v="1"/>
    <x v="2"/>
    <x v="4"/>
    <n v="1"/>
    <n v="88"/>
    <n v="88"/>
    <x v="1"/>
    <x v="2"/>
  </r>
  <r>
    <n v="10103"/>
    <x v="73"/>
    <x v="3"/>
    <x v="2"/>
    <x v="0"/>
    <x v="1"/>
    <x v="5"/>
    <n v="3"/>
    <n v="130"/>
    <n v="390"/>
    <x v="1"/>
    <x v="1"/>
  </r>
  <r>
    <n v="10699"/>
    <x v="73"/>
    <x v="1"/>
    <x v="1"/>
    <x v="1"/>
    <x v="2"/>
    <x v="4"/>
    <n v="4"/>
    <n v="147"/>
    <n v="588"/>
    <x v="3"/>
    <x v="2"/>
  </r>
  <r>
    <n v="11059"/>
    <x v="74"/>
    <x v="0"/>
    <x v="0"/>
    <x v="1"/>
    <x v="1"/>
    <x v="2"/>
    <n v="2"/>
    <n v="27"/>
    <n v="54"/>
    <x v="0"/>
    <x v="0"/>
  </r>
  <r>
    <n v="11136"/>
    <x v="74"/>
    <x v="1"/>
    <x v="4"/>
    <x v="1"/>
    <x v="0"/>
    <x v="8"/>
    <n v="5"/>
    <n v="46"/>
    <n v="230"/>
    <x v="0"/>
    <x v="0"/>
  </r>
  <r>
    <n v="11150"/>
    <x v="74"/>
    <x v="1"/>
    <x v="0"/>
    <x v="1"/>
    <x v="2"/>
    <x v="6"/>
    <n v="5"/>
    <n v="25"/>
    <n v="125"/>
    <x v="4"/>
    <x v="3"/>
  </r>
  <r>
    <n v="10096"/>
    <x v="75"/>
    <x v="1"/>
    <x v="2"/>
    <x v="0"/>
    <x v="2"/>
    <x v="6"/>
    <n v="3"/>
    <n v="145"/>
    <n v="435"/>
    <x v="4"/>
    <x v="2"/>
  </r>
  <r>
    <n v="10387"/>
    <x v="75"/>
    <x v="3"/>
    <x v="4"/>
    <x v="0"/>
    <x v="0"/>
    <x v="1"/>
    <n v="3"/>
    <n v="68"/>
    <n v="204"/>
    <x v="4"/>
    <x v="1"/>
  </r>
  <r>
    <n v="10406"/>
    <x v="75"/>
    <x v="2"/>
    <x v="2"/>
    <x v="1"/>
    <x v="0"/>
    <x v="0"/>
    <n v="1"/>
    <n v="146"/>
    <n v="146"/>
    <x v="3"/>
    <x v="2"/>
  </r>
  <r>
    <n v="10608"/>
    <x v="75"/>
    <x v="3"/>
    <x v="1"/>
    <x v="1"/>
    <x v="1"/>
    <x v="2"/>
    <n v="1"/>
    <n v="89"/>
    <n v="89"/>
    <x v="3"/>
    <x v="0"/>
  </r>
  <r>
    <n v="10773"/>
    <x v="75"/>
    <x v="2"/>
    <x v="1"/>
    <x v="1"/>
    <x v="1"/>
    <x v="2"/>
    <n v="4"/>
    <n v="86"/>
    <n v="344"/>
    <x v="1"/>
    <x v="0"/>
  </r>
  <r>
    <n v="10979"/>
    <x v="75"/>
    <x v="1"/>
    <x v="0"/>
    <x v="1"/>
    <x v="0"/>
    <x v="1"/>
    <n v="3"/>
    <n v="131"/>
    <n v="393"/>
    <x v="3"/>
    <x v="1"/>
  </r>
  <r>
    <n v="10329"/>
    <x v="76"/>
    <x v="2"/>
    <x v="3"/>
    <x v="1"/>
    <x v="2"/>
    <x v="3"/>
    <n v="5"/>
    <n v="82"/>
    <n v="410"/>
    <x v="0"/>
    <x v="2"/>
  </r>
  <r>
    <n v="10367"/>
    <x v="76"/>
    <x v="2"/>
    <x v="4"/>
    <x v="0"/>
    <x v="1"/>
    <x v="7"/>
    <n v="3"/>
    <n v="35"/>
    <n v="105"/>
    <x v="1"/>
    <x v="3"/>
  </r>
  <r>
    <n v="10753"/>
    <x v="76"/>
    <x v="0"/>
    <x v="3"/>
    <x v="0"/>
    <x v="1"/>
    <x v="5"/>
    <n v="2"/>
    <n v="81"/>
    <n v="162"/>
    <x v="4"/>
    <x v="0"/>
  </r>
  <r>
    <n v="10817"/>
    <x v="76"/>
    <x v="2"/>
    <x v="4"/>
    <x v="0"/>
    <x v="1"/>
    <x v="5"/>
    <n v="1"/>
    <n v="88"/>
    <n v="88"/>
    <x v="2"/>
    <x v="0"/>
  </r>
  <r>
    <n v="10604"/>
    <x v="77"/>
    <x v="3"/>
    <x v="1"/>
    <x v="0"/>
    <x v="0"/>
    <x v="0"/>
    <n v="4"/>
    <n v="148"/>
    <n v="592"/>
    <x v="1"/>
    <x v="2"/>
  </r>
  <r>
    <n v="10003"/>
    <x v="78"/>
    <x v="3"/>
    <x v="1"/>
    <x v="1"/>
    <x v="0"/>
    <x v="8"/>
    <n v="3"/>
    <n v="91"/>
    <n v="273"/>
    <x v="3"/>
    <x v="3"/>
  </r>
  <r>
    <n v="10235"/>
    <x v="78"/>
    <x v="0"/>
    <x v="0"/>
    <x v="1"/>
    <x v="2"/>
    <x v="4"/>
    <n v="4"/>
    <n v="108"/>
    <n v="432"/>
    <x v="3"/>
    <x v="3"/>
  </r>
  <r>
    <n v="10940"/>
    <x v="78"/>
    <x v="1"/>
    <x v="4"/>
    <x v="0"/>
    <x v="1"/>
    <x v="5"/>
    <n v="5"/>
    <n v="130"/>
    <n v="650"/>
    <x v="2"/>
    <x v="0"/>
  </r>
  <r>
    <n v="11038"/>
    <x v="78"/>
    <x v="1"/>
    <x v="0"/>
    <x v="0"/>
    <x v="1"/>
    <x v="5"/>
    <n v="2"/>
    <n v="121"/>
    <n v="242"/>
    <x v="4"/>
    <x v="1"/>
  </r>
  <r>
    <n v="10769"/>
    <x v="79"/>
    <x v="3"/>
    <x v="2"/>
    <x v="1"/>
    <x v="1"/>
    <x v="2"/>
    <n v="1"/>
    <n v="48"/>
    <n v="48"/>
    <x v="1"/>
    <x v="3"/>
  </r>
  <r>
    <n v="10909"/>
    <x v="79"/>
    <x v="2"/>
    <x v="0"/>
    <x v="0"/>
    <x v="2"/>
    <x v="6"/>
    <n v="4"/>
    <n v="120"/>
    <n v="480"/>
    <x v="2"/>
    <x v="0"/>
  </r>
  <r>
    <n v="10304"/>
    <x v="80"/>
    <x v="0"/>
    <x v="4"/>
    <x v="0"/>
    <x v="2"/>
    <x v="3"/>
    <n v="2"/>
    <n v="97"/>
    <n v="194"/>
    <x v="4"/>
    <x v="0"/>
  </r>
  <r>
    <n v="10437"/>
    <x v="80"/>
    <x v="1"/>
    <x v="2"/>
    <x v="0"/>
    <x v="2"/>
    <x v="3"/>
    <n v="1"/>
    <n v="149"/>
    <n v="149"/>
    <x v="3"/>
    <x v="2"/>
  </r>
  <r>
    <n v="10756"/>
    <x v="80"/>
    <x v="0"/>
    <x v="0"/>
    <x v="1"/>
    <x v="1"/>
    <x v="2"/>
    <n v="1"/>
    <n v="71"/>
    <n v="71"/>
    <x v="4"/>
    <x v="2"/>
  </r>
  <r>
    <n v="11079"/>
    <x v="80"/>
    <x v="1"/>
    <x v="4"/>
    <x v="1"/>
    <x v="2"/>
    <x v="4"/>
    <n v="3"/>
    <n v="116"/>
    <n v="348"/>
    <x v="2"/>
    <x v="3"/>
  </r>
  <r>
    <n v="11110"/>
    <x v="80"/>
    <x v="0"/>
    <x v="4"/>
    <x v="1"/>
    <x v="0"/>
    <x v="1"/>
    <n v="5"/>
    <n v="21"/>
    <n v="105"/>
    <x v="1"/>
    <x v="0"/>
  </r>
  <r>
    <n v="10450"/>
    <x v="81"/>
    <x v="3"/>
    <x v="0"/>
    <x v="0"/>
    <x v="1"/>
    <x v="2"/>
    <n v="5"/>
    <n v="56"/>
    <n v="280"/>
    <x v="0"/>
    <x v="0"/>
  </r>
  <r>
    <n v="10811"/>
    <x v="81"/>
    <x v="0"/>
    <x v="0"/>
    <x v="0"/>
    <x v="1"/>
    <x v="2"/>
    <n v="4"/>
    <n v="25"/>
    <n v="100"/>
    <x v="4"/>
    <x v="3"/>
  </r>
  <r>
    <n v="10813"/>
    <x v="81"/>
    <x v="3"/>
    <x v="1"/>
    <x v="1"/>
    <x v="0"/>
    <x v="1"/>
    <n v="3"/>
    <n v="140"/>
    <n v="420"/>
    <x v="2"/>
    <x v="1"/>
  </r>
  <r>
    <n v="11075"/>
    <x v="81"/>
    <x v="2"/>
    <x v="1"/>
    <x v="0"/>
    <x v="1"/>
    <x v="5"/>
    <n v="2"/>
    <n v="95"/>
    <n v="190"/>
    <x v="4"/>
    <x v="0"/>
  </r>
  <r>
    <n v="10584"/>
    <x v="82"/>
    <x v="3"/>
    <x v="0"/>
    <x v="1"/>
    <x v="2"/>
    <x v="4"/>
    <n v="3"/>
    <n v="58"/>
    <n v="174"/>
    <x v="2"/>
    <x v="2"/>
  </r>
  <r>
    <n v="10714"/>
    <x v="82"/>
    <x v="2"/>
    <x v="1"/>
    <x v="0"/>
    <x v="1"/>
    <x v="2"/>
    <n v="2"/>
    <n v="111"/>
    <n v="222"/>
    <x v="2"/>
    <x v="2"/>
  </r>
  <r>
    <n v="10190"/>
    <x v="83"/>
    <x v="3"/>
    <x v="1"/>
    <x v="1"/>
    <x v="2"/>
    <x v="3"/>
    <n v="2"/>
    <n v="97"/>
    <n v="194"/>
    <x v="4"/>
    <x v="2"/>
  </r>
  <r>
    <n v="10335"/>
    <x v="83"/>
    <x v="1"/>
    <x v="3"/>
    <x v="0"/>
    <x v="0"/>
    <x v="0"/>
    <n v="2"/>
    <n v="47"/>
    <n v="94"/>
    <x v="2"/>
    <x v="0"/>
  </r>
  <r>
    <n v="10824"/>
    <x v="83"/>
    <x v="1"/>
    <x v="4"/>
    <x v="0"/>
    <x v="2"/>
    <x v="6"/>
    <n v="3"/>
    <n v="122"/>
    <n v="366"/>
    <x v="3"/>
    <x v="1"/>
  </r>
  <r>
    <n v="11065"/>
    <x v="83"/>
    <x v="2"/>
    <x v="1"/>
    <x v="0"/>
    <x v="1"/>
    <x v="2"/>
    <n v="4"/>
    <n v="117"/>
    <n v="468"/>
    <x v="0"/>
    <x v="2"/>
  </r>
  <r>
    <n v="10102"/>
    <x v="84"/>
    <x v="0"/>
    <x v="4"/>
    <x v="1"/>
    <x v="0"/>
    <x v="1"/>
    <n v="1"/>
    <n v="133"/>
    <n v="133"/>
    <x v="4"/>
    <x v="0"/>
  </r>
  <r>
    <n v="10268"/>
    <x v="84"/>
    <x v="1"/>
    <x v="1"/>
    <x v="0"/>
    <x v="1"/>
    <x v="5"/>
    <n v="2"/>
    <n v="36"/>
    <n v="72"/>
    <x v="4"/>
    <x v="3"/>
  </r>
  <r>
    <n v="10510"/>
    <x v="84"/>
    <x v="1"/>
    <x v="4"/>
    <x v="1"/>
    <x v="0"/>
    <x v="8"/>
    <n v="1"/>
    <n v="73"/>
    <n v="73"/>
    <x v="3"/>
    <x v="3"/>
  </r>
  <r>
    <n v="10963"/>
    <x v="85"/>
    <x v="1"/>
    <x v="4"/>
    <x v="0"/>
    <x v="2"/>
    <x v="6"/>
    <n v="5"/>
    <n v="139"/>
    <n v="695"/>
    <x v="1"/>
    <x v="1"/>
  </r>
  <r>
    <n v="10208"/>
    <x v="86"/>
    <x v="1"/>
    <x v="0"/>
    <x v="1"/>
    <x v="0"/>
    <x v="0"/>
    <n v="5"/>
    <n v="142"/>
    <n v="710"/>
    <x v="3"/>
    <x v="0"/>
  </r>
  <r>
    <n v="10360"/>
    <x v="86"/>
    <x v="1"/>
    <x v="0"/>
    <x v="1"/>
    <x v="1"/>
    <x v="7"/>
    <n v="1"/>
    <n v="107"/>
    <n v="107"/>
    <x v="1"/>
    <x v="0"/>
  </r>
  <r>
    <n v="10821"/>
    <x v="86"/>
    <x v="2"/>
    <x v="1"/>
    <x v="0"/>
    <x v="1"/>
    <x v="5"/>
    <n v="3"/>
    <n v="149"/>
    <n v="447"/>
    <x v="2"/>
    <x v="2"/>
  </r>
  <r>
    <n v="11005"/>
    <x v="86"/>
    <x v="0"/>
    <x v="4"/>
    <x v="0"/>
    <x v="2"/>
    <x v="6"/>
    <n v="4"/>
    <n v="117"/>
    <n v="468"/>
    <x v="0"/>
    <x v="0"/>
  </r>
  <r>
    <n v="11033"/>
    <x v="86"/>
    <x v="3"/>
    <x v="4"/>
    <x v="1"/>
    <x v="1"/>
    <x v="2"/>
    <n v="3"/>
    <n v="50"/>
    <n v="150"/>
    <x v="4"/>
    <x v="0"/>
  </r>
  <r>
    <n v="10374"/>
    <x v="87"/>
    <x v="0"/>
    <x v="3"/>
    <x v="1"/>
    <x v="0"/>
    <x v="1"/>
    <n v="4"/>
    <n v="29"/>
    <n v="116"/>
    <x v="1"/>
    <x v="3"/>
  </r>
  <r>
    <n v="10618"/>
    <x v="87"/>
    <x v="2"/>
    <x v="2"/>
    <x v="0"/>
    <x v="1"/>
    <x v="2"/>
    <n v="3"/>
    <n v="80"/>
    <n v="240"/>
    <x v="3"/>
    <x v="3"/>
  </r>
  <r>
    <n v="11160"/>
    <x v="87"/>
    <x v="1"/>
    <x v="1"/>
    <x v="1"/>
    <x v="1"/>
    <x v="5"/>
    <n v="5"/>
    <n v="99"/>
    <n v="495"/>
    <x v="0"/>
    <x v="2"/>
  </r>
  <r>
    <n v="10087"/>
    <x v="88"/>
    <x v="1"/>
    <x v="2"/>
    <x v="0"/>
    <x v="0"/>
    <x v="8"/>
    <n v="5"/>
    <n v="30"/>
    <n v="150"/>
    <x v="4"/>
    <x v="1"/>
  </r>
  <r>
    <n v="10349"/>
    <x v="88"/>
    <x v="1"/>
    <x v="4"/>
    <x v="1"/>
    <x v="0"/>
    <x v="0"/>
    <n v="4"/>
    <n v="99"/>
    <n v="396"/>
    <x v="3"/>
    <x v="1"/>
  </r>
  <r>
    <n v="10456"/>
    <x v="88"/>
    <x v="2"/>
    <x v="1"/>
    <x v="1"/>
    <x v="1"/>
    <x v="5"/>
    <n v="4"/>
    <n v="47"/>
    <n v="188"/>
    <x v="1"/>
    <x v="1"/>
  </r>
  <r>
    <n v="11004"/>
    <x v="88"/>
    <x v="2"/>
    <x v="1"/>
    <x v="1"/>
    <x v="0"/>
    <x v="8"/>
    <n v="2"/>
    <n v="77"/>
    <n v="154"/>
    <x v="1"/>
    <x v="2"/>
  </r>
  <r>
    <n v="10354"/>
    <x v="89"/>
    <x v="2"/>
    <x v="2"/>
    <x v="0"/>
    <x v="0"/>
    <x v="1"/>
    <n v="3"/>
    <n v="52"/>
    <n v="156"/>
    <x v="1"/>
    <x v="0"/>
  </r>
  <r>
    <n v="10619"/>
    <x v="89"/>
    <x v="0"/>
    <x v="3"/>
    <x v="1"/>
    <x v="1"/>
    <x v="2"/>
    <n v="1"/>
    <n v="133"/>
    <n v="133"/>
    <x v="1"/>
    <x v="0"/>
  </r>
  <r>
    <n v="10938"/>
    <x v="89"/>
    <x v="3"/>
    <x v="1"/>
    <x v="0"/>
    <x v="0"/>
    <x v="0"/>
    <n v="2"/>
    <n v="128"/>
    <n v="256"/>
    <x v="1"/>
    <x v="3"/>
  </r>
  <r>
    <n v="10014"/>
    <x v="90"/>
    <x v="2"/>
    <x v="1"/>
    <x v="1"/>
    <x v="1"/>
    <x v="7"/>
    <n v="3"/>
    <n v="148"/>
    <n v="444"/>
    <x v="0"/>
    <x v="2"/>
  </r>
  <r>
    <n v="10460"/>
    <x v="90"/>
    <x v="3"/>
    <x v="3"/>
    <x v="0"/>
    <x v="0"/>
    <x v="0"/>
    <n v="4"/>
    <n v="60"/>
    <n v="240"/>
    <x v="3"/>
    <x v="1"/>
  </r>
  <r>
    <n v="10665"/>
    <x v="90"/>
    <x v="2"/>
    <x v="2"/>
    <x v="0"/>
    <x v="1"/>
    <x v="7"/>
    <n v="1"/>
    <n v="21"/>
    <n v="21"/>
    <x v="2"/>
    <x v="3"/>
  </r>
  <r>
    <n v="10711"/>
    <x v="90"/>
    <x v="1"/>
    <x v="0"/>
    <x v="1"/>
    <x v="2"/>
    <x v="3"/>
    <n v="3"/>
    <n v="126"/>
    <n v="378"/>
    <x v="3"/>
    <x v="2"/>
  </r>
  <r>
    <n v="10501"/>
    <x v="91"/>
    <x v="3"/>
    <x v="2"/>
    <x v="1"/>
    <x v="1"/>
    <x v="5"/>
    <n v="3"/>
    <n v="135"/>
    <n v="405"/>
    <x v="3"/>
    <x v="2"/>
  </r>
  <r>
    <n v="10594"/>
    <x v="91"/>
    <x v="3"/>
    <x v="1"/>
    <x v="1"/>
    <x v="0"/>
    <x v="1"/>
    <n v="4"/>
    <n v="146"/>
    <n v="584"/>
    <x v="3"/>
    <x v="0"/>
  </r>
  <r>
    <n v="10696"/>
    <x v="92"/>
    <x v="3"/>
    <x v="0"/>
    <x v="1"/>
    <x v="2"/>
    <x v="3"/>
    <n v="2"/>
    <n v="93"/>
    <n v="186"/>
    <x v="0"/>
    <x v="0"/>
  </r>
  <r>
    <n v="10800"/>
    <x v="92"/>
    <x v="1"/>
    <x v="4"/>
    <x v="1"/>
    <x v="2"/>
    <x v="3"/>
    <n v="4"/>
    <n v="65"/>
    <n v="260"/>
    <x v="2"/>
    <x v="2"/>
  </r>
  <r>
    <n v="11060"/>
    <x v="92"/>
    <x v="1"/>
    <x v="0"/>
    <x v="0"/>
    <x v="2"/>
    <x v="3"/>
    <n v="4"/>
    <n v="58"/>
    <n v="232"/>
    <x v="2"/>
    <x v="3"/>
  </r>
  <r>
    <n v="10500"/>
    <x v="93"/>
    <x v="1"/>
    <x v="3"/>
    <x v="1"/>
    <x v="1"/>
    <x v="2"/>
    <n v="3"/>
    <n v="113"/>
    <n v="339"/>
    <x v="2"/>
    <x v="2"/>
  </r>
  <r>
    <n v="10221"/>
    <x v="94"/>
    <x v="2"/>
    <x v="1"/>
    <x v="0"/>
    <x v="2"/>
    <x v="3"/>
    <n v="4"/>
    <n v="85"/>
    <n v="340"/>
    <x v="1"/>
    <x v="1"/>
  </r>
  <r>
    <n v="10283"/>
    <x v="94"/>
    <x v="1"/>
    <x v="3"/>
    <x v="1"/>
    <x v="1"/>
    <x v="7"/>
    <n v="4"/>
    <n v="67"/>
    <n v="268"/>
    <x v="1"/>
    <x v="1"/>
  </r>
  <r>
    <n v="10366"/>
    <x v="94"/>
    <x v="1"/>
    <x v="4"/>
    <x v="0"/>
    <x v="2"/>
    <x v="6"/>
    <n v="4"/>
    <n v="114"/>
    <n v="456"/>
    <x v="2"/>
    <x v="3"/>
  </r>
  <r>
    <n v="10877"/>
    <x v="94"/>
    <x v="3"/>
    <x v="0"/>
    <x v="1"/>
    <x v="1"/>
    <x v="2"/>
    <n v="5"/>
    <n v="133"/>
    <n v="665"/>
    <x v="3"/>
    <x v="1"/>
  </r>
  <r>
    <n v="11017"/>
    <x v="94"/>
    <x v="3"/>
    <x v="1"/>
    <x v="1"/>
    <x v="2"/>
    <x v="3"/>
    <n v="2"/>
    <n v="150"/>
    <n v="300"/>
    <x v="4"/>
    <x v="1"/>
  </r>
  <r>
    <n v="10377"/>
    <x v="95"/>
    <x v="1"/>
    <x v="0"/>
    <x v="0"/>
    <x v="1"/>
    <x v="5"/>
    <n v="4"/>
    <n v="42"/>
    <n v="168"/>
    <x v="2"/>
    <x v="2"/>
  </r>
  <r>
    <n v="10572"/>
    <x v="95"/>
    <x v="2"/>
    <x v="0"/>
    <x v="1"/>
    <x v="1"/>
    <x v="5"/>
    <n v="3"/>
    <n v="58"/>
    <n v="174"/>
    <x v="3"/>
    <x v="2"/>
  </r>
  <r>
    <n v="10541"/>
    <x v="96"/>
    <x v="3"/>
    <x v="2"/>
    <x v="1"/>
    <x v="2"/>
    <x v="3"/>
    <n v="2"/>
    <n v="118"/>
    <n v="236"/>
    <x v="1"/>
    <x v="1"/>
  </r>
  <r>
    <n v="11012"/>
    <x v="96"/>
    <x v="0"/>
    <x v="4"/>
    <x v="1"/>
    <x v="2"/>
    <x v="6"/>
    <n v="2"/>
    <n v="48"/>
    <n v="96"/>
    <x v="2"/>
    <x v="3"/>
  </r>
  <r>
    <n v="11153"/>
    <x v="96"/>
    <x v="2"/>
    <x v="2"/>
    <x v="0"/>
    <x v="0"/>
    <x v="8"/>
    <n v="3"/>
    <n v="99"/>
    <n v="297"/>
    <x v="1"/>
    <x v="0"/>
  </r>
  <r>
    <n v="11185"/>
    <x v="96"/>
    <x v="3"/>
    <x v="2"/>
    <x v="0"/>
    <x v="1"/>
    <x v="7"/>
    <n v="5"/>
    <n v="147"/>
    <n v="735"/>
    <x v="1"/>
    <x v="2"/>
  </r>
  <r>
    <n v="10023"/>
    <x v="97"/>
    <x v="3"/>
    <x v="2"/>
    <x v="0"/>
    <x v="0"/>
    <x v="8"/>
    <n v="1"/>
    <n v="83"/>
    <n v="83"/>
    <x v="0"/>
    <x v="3"/>
  </r>
  <r>
    <n v="10254"/>
    <x v="97"/>
    <x v="0"/>
    <x v="1"/>
    <x v="0"/>
    <x v="2"/>
    <x v="3"/>
    <n v="2"/>
    <n v="81"/>
    <n v="162"/>
    <x v="2"/>
    <x v="0"/>
  </r>
  <r>
    <n v="10645"/>
    <x v="97"/>
    <x v="2"/>
    <x v="4"/>
    <x v="1"/>
    <x v="2"/>
    <x v="3"/>
    <n v="3"/>
    <n v="84"/>
    <n v="252"/>
    <x v="3"/>
    <x v="1"/>
  </r>
  <r>
    <n v="10843"/>
    <x v="97"/>
    <x v="2"/>
    <x v="2"/>
    <x v="1"/>
    <x v="0"/>
    <x v="1"/>
    <n v="1"/>
    <n v="41"/>
    <n v="41"/>
    <x v="2"/>
    <x v="0"/>
  </r>
  <r>
    <n v="10953"/>
    <x v="97"/>
    <x v="0"/>
    <x v="3"/>
    <x v="0"/>
    <x v="2"/>
    <x v="4"/>
    <n v="1"/>
    <n v="66"/>
    <n v="66"/>
    <x v="1"/>
    <x v="0"/>
  </r>
  <r>
    <n v="11100"/>
    <x v="97"/>
    <x v="1"/>
    <x v="4"/>
    <x v="0"/>
    <x v="0"/>
    <x v="8"/>
    <n v="2"/>
    <n v="120"/>
    <n v="240"/>
    <x v="0"/>
    <x v="3"/>
  </r>
  <r>
    <n v="10145"/>
    <x v="98"/>
    <x v="0"/>
    <x v="1"/>
    <x v="1"/>
    <x v="2"/>
    <x v="3"/>
    <n v="1"/>
    <n v="150"/>
    <n v="150"/>
    <x v="0"/>
    <x v="0"/>
  </r>
  <r>
    <n v="10433"/>
    <x v="98"/>
    <x v="0"/>
    <x v="3"/>
    <x v="1"/>
    <x v="0"/>
    <x v="1"/>
    <n v="5"/>
    <n v="70"/>
    <n v="350"/>
    <x v="3"/>
    <x v="1"/>
  </r>
  <r>
    <n v="11196"/>
    <x v="98"/>
    <x v="0"/>
    <x v="3"/>
    <x v="1"/>
    <x v="2"/>
    <x v="3"/>
    <n v="3"/>
    <n v="110"/>
    <n v="330"/>
    <x v="0"/>
    <x v="1"/>
  </r>
  <r>
    <n v="10285"/>
    <x v="99"/>
    <x v="1"/>
    <x v="4"/>
    <x v="0"/>
    <x v="0"/>
    <x v="0"/>
    <n v="3"/>
    <n v="103"/>
    <n v="309"/>
    <x v="2"/>
    <x v="2"/>
  </r>
  <r>
    <n v="10502"/>
    <x v="99"/>
    <x v="3"/>
    <x v="0"/>
    <x v="0"/>
    <x v="2"/>
    <x v="3"/>
    <n v="4"/>
    <n v="117"/>
    <n v="468"/>
    <x v="3"/>
    <x v="1"/>
  </r>
  <r>
    <n v="10977"/>
    <x v="99"/>
    <x v="2"/>
    <x v="1"/>
    <x v="1"/>
    <x v="1"/>
    <x v="7"/>
    <n v="2"/>
    <n v="75"/>
    <n v="150"/>
    <x v="0"/>
    <x v="3"/>
  </r>
  <r>
    <n v="10404"/>
    <x v="100"/>
    <x v="3"/>
    <x v="1"/>
    <x v="1"/>
    <x v="1"/>
    <x v="7"/>
    <n v="1"/>
    <n v="147"/>
    <n v="147"/>
    <x v="4"/>
    <x v="3"/>
  </r>
  <r>
    <n v="10732"/>
    <x v="100"/>
    <x v="0"/>
    <x v="0"/>
    <x v="0"/>
    <x v="0"/>
    <x v="0"/>
    <n v="1"/>
    <n v="113"/>
    <n v="113"/>
    <x v="3"/>
    <x v="1"/>
  </r>
  <r>
    <n v="10364"/>
    <x v="101"/>
    <x v="2"/>
    <x v="4"/>
    <x v="1"/>
    <x v="1"/>
    <x v="7"/>
    <n v="3"/>
    <n v="142"/>
    <n v="426"/>
    <x v="0"/>
    <x v="2"/>
  </r>
  <r>
    <n v="10393"/>
    <x v="101"/>
    <x v="0"/>
    <x v="3"/>
    <x v="0"/>
    <x v="1"/>
    <x v="7"/>
    <n v="2"/>
    <n v="55"/>
    <n v="110"/>
    <x v="0"/>
    <x v="2"/>
  </r>
  <r>
    <n v="10649"/>
    <x v="101"/>
    <x v="1"/>
    <x v="0"/>
    <x v="0"/>
    <x v="2"/>
    <x v="6"/>
    <n v="1"/>
    <n v="145"/>
    <n v="145"/>
    <x v="3"/>
    <x v="1"/>
  </r>
  <r>
    <n v="10537"/>
    <x v="102"/>
    <x v="2"/>
    <x v="3"/>
    <x v="1"/>
    <x v="2"/>
    <x v="4"/>
    <n v="2"/>
    <n v="28"/>
    <n v="56"/>
    <x v="3"/>
    <x v="0"/>
  </r>
  <r>
    <n v="11183"/>
    <x v="102"/>
    <x v="3"/>
    <x v="3"/>
    <x v="1"/>
    <x v="1"/>
    <x v="5"/>
    <n v="3"/>
    <n v="77"/>
    <n v="231"/>
    <x v="3"/>
    <x v="0"/>
  </r>
  <r>
    <n v="10139"/>
    <x v="103"/>
    <x v="0"/>
    <x v="0"/>
    <x v="1"/>
    <x v="1"/>
    <x v="2"/>
    <n v="1"/>
    <n v="21"/>
    <n v="21"/>
    <x v="4"/>
    <x v="2"/>
  </r>
  <r>
    <n v="10296"/>
    <x v="104"/>
    <x v="2"/>
    <x v="2"/>
    <x v="0"/>
    <x v="2"/>
    <x v="3"/>
    <n v="2"/>
    <n v="72"/>
    <n v="144"/>
    <x v="1"/>
    <x v="2"/>
  </r>
  <r>
    <n v="10362"/>
    <x v="104"/>
    <x v="3"/>
    <x v="3"/>
    <x v="0"/>
    <x v="2"/>
    <x v="4"/>
    <n v="1"/>
    <n v="104"/>
    <n v="104"/>
    <x v="4"/>
    <x v="2"/>
  </r>
  <r>
    <n v="10605"/>
    <x v="104"/>
    <x v="2"/>
    <x v="3"/>
    <x v="0"/>
    <x v="1"/>
    <x v="7"/>
    <n v="1"/>
    <n v="53"/>
    <n v="53"/>
    <x v="1"/>
    <x v="0"/>
  </r>
  <r>
    <n v="11143"/>
    <x v="104"/>
    <x v="3"/>
    <x v="0"/>
    <x v="0"/>
    <x v="0"/>
    <x v="1"/>
    <n v="3"/>
    <n v="146"/>
    <n v="438"/>
    <x v="4"/>
    <x v="2"/>
  </r>
  <r>
    <n v="10405"/>
    <x v="105"/>
    <x v="1"/>
    <x v="1"/>
    <x v="1"/>
    <x v="1"/>
    <x v="7"/>
    <n v="1"/>
    <n v="147"/>
    <n v="147"/>
    <x v="3"/>
    <x v="0"/>
  </r>
  <r>
    <n v="10707"/>
    <x v="105"/>
    <x v="0"/>
    <x v="3"/>
    <x v="0"/>
    <x v="0"/>
    <x v="1"/>
    <n v="1"/>
    <n v="56"/>
    <n v="56"/>
    <x v="3"/>
    <x v="3"/>
  </r>
  <r>
    <n v="10893"/>
    <x v="105"/>
    <x v="3"/>
    <x v="0"/>
    <x v="0"/>
    <x v="1"/>
    <x v="2"/>
    <n v="4"/>
    <n v="29"/>
    <n v="116"/>
    <x v="0"/>
    <x v="3"/>
  </r>
  <r>
    <n v="10805"/>
    <x v="106"/>
    <x v="1"/>
    <x v="0"/>
    <x v="1"/>
    <x v="2"/>
    <x v="3"/>
    <n v="2"/>
    <n v="26"/>
    <n v="52"/>
    <x v="2"/>
    <x v="1"/>
  </r>
  <r>
    <n v="10887"/>
    <x v="106"/>
    <x v="0"/>
    <x v="3"/>
    <x v="1"/>
    <x v="1"/>
    <x v="2"/>
    <n v="1"/>
    <n v="106"/>
    <n v="106"/>
    <x v="4"/>
    <x v="2"/>
  </r>
  <r>
    <n v="11091"/>
    <x v="106"/>
    <x v="3"/>
    <x v="2"/>
    <x v="1"/>
    <x v="0"/>
    <x v="8"/>
    <n v="2"/>
    <n v="109"/>
    <n v="218"/>
    <x v="4"/>
    <x v="2"/>
  </r>
  <r>
    <n v="11108"/>
    <x v="106"/>
    <x v="1"/>
    <x v="3"/>
    <x v="0"/>
    <x v="1"/>
    <x v="7"/>
    <n v="4"/>
    <n v="39"/>
    <n v="156"/>
    <x v="2"/>
    <x v="1"/>
  </r>
  <r>
    <n v="10956"/>
    <x v="107"/>
    <x v="2"/>
    <x v="3"/>
    <x v="0"/>
    <x v="0"/>
    <x v="1"/>
    <n v="1"/>
    <n v="44"/>
    <n v="44"/>
    <x v="2"/>
    <x v="3"/>
  </r>
  <r>
    <n v="10726"/>
    <x v="108"/>
    <x v="1"/>
    <x v="1"/>
    <x v="1"/>
    <x v="2"/>
    <x v="3"/>
    <n v="1"/>
    <n v="45"/>
    <n v="45"/>
    <x v="2"/>
    <x v="0"/>
  </r>
  <r>
    <n v="10727"/>
    <x v="108"/>
    <x v="3"/>
    <x v="3"/>
    <x v="1"/>
    <x v="2"/>
    <x v="6"/>
    <n v="4"/>
    <n v="128"/>
    <n v="512"/>
    <x v="4"/>
    <x v="0"/>
  </r>
  <r>
    <n v="11119"/>
    <x v="108"/>
    <x v="1"/>
    <x v="2"/>
    <x v="0"/>
    <x v="2"/>
    <x v="6"/>
    <n v="1"/>
    <n v="104"/>
    <n v="104"/>
    <x v="0"/>
    <x v="0"/>
  </r>
  <r>
    <n v="10337"/>
    <x v="109"/>
    <x v="0"/>
    <x v="0"/>
    <x v="1"/>
    <x v="0"/>
    <x v="8"/>
    <n v="5"/>
    <n v="30"/>
    <n v="150"/>
    <x v="0"/>
    <x v="2"/>
  </r>
  <r>
    <n v="11072"/>
    <x v="109"/>
    <x v="3"/>
    <x v="0"/>
    <x v="0"/>
    <x v="2"/>
    <x v="3"/>
    <n v="1"/>
    <n v="79"/>
    <n v="79"/>
    <x v="2"/>
    <x v="1"/>
  </r>
  <r>
    <n v="11111"/>
    <x v="109"/>
    <x v="0"/>
    <x v="4"/>
    <x v="1"/>
    <x v="0"/>
    <x v="0"/>
    <n v="5"/>
    <n v="59"/>
    <n v="295"/>
    <x v="3"/>
    <x v="2"/>
  </r>
  <r>
    <n v="11118"/>
    <x v="109"/>
    <x v="0"/>
    <x v="1"/>
    <x v="1"/>
    <x v="2"/>
    <x v="6"/>
    <n v="2"/>
    <n v="38"/>
    <n v="76"/>
    <x v="4"/>
    <x v="0"/>
  </r>
  <r>
    <n v="11156"/>
    <x v="110"/>
    <x v="0"/>
    <x v="2"/>
    <x v="1"/>
    <x v="1"/>
    <x v="7"/>
    <n v="4"/>
    <n v="30"/>
    <n v="120"/>
    <x v="3"/>
    <x v="3"/>
  </r>
  <r>
    <n v="10002"/>
    <x v="111"/>
    <x v="1"/>
    <x v="2"/>
    <x v="0"/>
    <x v="0"/>
    <x v="1"/>
    <n v="5"/>
    <n v="127"/>
    <n v="635"/>
    <x v="3"/>
    <x v="1"/>
  </r>
  <r>
    <n v="10677"/>
    <x v="111"/>
    <x v="0"/>
    <x v="2"/>
    <x v="1"/>
    <x v="1"/>
    <x v="5"/>
    <n v="2"/>
    <n v="107"/>
    <n v="214"/>
    <x v="1"/>
    <x v="1"/>
  </r>
  <r>
    <n v="10382"/>
    <x v="112"/>
    <x v="3"/>
    <x v="0"/>
    <x v="0"/>
    <x v="1"/>
    <x v="7"/>
    <n v="2"/>
    <n v="74"/>
    <n v="148"/>
    <x v="2"/>
    <x v="0"/>
  </r>
  <r>
    <n v="10553"/>
    <x v="112"/>
    <x v="1"/>
    <x v="1"/>
    <x v="0"/>
    <x v="0"/>
    <x v="1"/>
    <n v="5"/>
    <n v="43"/>
    <n v="215"/>
    <x v="0"/>
    <x v="1"/>
  </r>
  <r>
    <n v="10241"/>
    <x v="113"/>
    <x v="0"/>
    <x v="0"/>
    <x v="0"/>
    <x v="2"/>
    <x v="3"/>
    <n v="4"/>
    <n v="81"/>
    <n v="324"/>
    <x v="3"/>
    <x v="3"/>
  </r>
  <r>
    <n v="10397"/>
    <x v="113"/>
    <x v="0"/>
    <x v="1"/>
    <x v="1"/>
    <x v="2"/>
    <x v="3"/>
    <n v="1"/>
    <n v="83"/>
    <n v="83"/>
    <x v="3"/>
    <x v="3"/>
  </r>
  <r>
    <n v="10575"/>
    <x v="113"/>
    <x v="2"/>
    <x v="3"/>
    <x v="1"/>
    <x v="1"/>
    <x v="7"/>
    <n v="2"/>
    <n v="69"/>
    <n v="138"/>
    <x v="4"/>
    <x v="3"/>
  </r>
  <r>
    <n v="10628"/>
    <x v="113"/>
    <x v="3"/>
    <x v="3"/>
    <x v="1"/>
    <x v="0"/>
    <x v="8"/>
    <n v="4"/>
    <n v="110"/>
    <n v="440"/>
    <x v="1"/>
    <x v="3"/>
  </r>
  <r>
    <n v="10868"/>
    <x v="113"/>
    <x v="1"/>
    <x v="4"/>
    <x v="1"/>
    <x v="1"/>
    <x v="7"/>
    <n v="5"/>
    <n v="26"/>
    <n v="130"/>
    <x v="0"/>
    <x v="1"/>
  </r>
  <r>
    <n v="10508"/>
    <x v="114"/>
    <x v="0"/>
    <x v="1"/>
    <x v="0"/>
    <x v="2"/>
    <x v="4"/>
    <n v="2"/>
    <n v="107"/>
    <n v="214"/>
    <x v="4"/>
    <x v="3"/>
  </r>
  <r>
    <n v="10512"/>
    <x v="115"/>
    <x v="3"/>
    <x v="1"/>
    <x v="0"/>
    <x v="2"/>
    <x v="3"/>
    <n v="4"/>
    <n v="99"/>
    <n v="396"/>
    <x v="0"/>
    <x v="1"/>
  </r>
  <r>
    <n v="10784"/>
    <x v="115"/>
    <x v="3"/>
    <x v="4"/>
    <x v="0"/>
    <x v="2"/>
    <x v="4"/>
    <n v="2"/>
    <n v="33"/>
    <n v="66"/>
    <x v="4"/>
    <x v="1"/>
  </r>
  <r>
    <n v="10613"/>
    <x v="116"/>
    <x v="3"/>
    <x v="0"/>
    <x v="0"/>
    <x v="1"/>
    <x v="2"/>
    <n v="4"/>
    <n v="140"/>
    <n v="560"/>
    <x v="4"/>
    <x v="3"/>
  </r>
  <r>
    <n v="10926"/>
    <x v="116"/>
    <x v="3"/>
    <x v="4"/>
    <x v="0"/>
    <x v="0"/>
    <x v="8"/>
    <n v="4"/>
    <n v="50"/>
    <n v="200"/>
    <x v="4"/>
    <x v="1"/>
  </r>
  <r>
    <n v="11180"/>
    <x v="116"/>
    <x v="3"/>
    <x v="4"/>
    <x v="1"/>
    <x v="1"/>
    <x v="2"/>
    <n v="4"/>
    <n v="102"/>
    <n v="408"/>
    <x v="2"/>
    <x v="3"/>
  </r>
  <r>
    <n v="10522"/>
    <x v="117"/>
    <x v="2"/>
    <x v="0"/>
    <x v="1"/>
    <x v="2"/>
    <x v="3"/>
    <n v="4"/>
    <n v="22"/>
    <n v="88"/>
    <x v="2"/>
    <x v="1"/>
  </r>
  <r>
    <n v="10101"/>
    <x v="118"/>
    <x v="0"/>
    <x v="0"/>
    <x v="1"/>
    <x v="0"/>
    <x v="0"/>
    <n v="5"/>
    <n v="37"/>
    <n v="185"/>
    <x v="2"/>
    <x v="0"/>
  </r>
  <r>
    <n v="10116"/>
    <x v="118"/>
    <x v="3"/>
    <x v="3"/>
    <x v="0"/>
    <x v="1"/>
    <x v="5"/>
    <n v="1"/>
    <n v="44"/>
    <n v="44"/>
    <x v="4"/>
    <x v="3"/>
  </r>
  <r>
    <n v="10672"/>
    <x v="118"/>
    <x v="1"/>
    <x v="2"/>
    <x v="0"/>
    <x v="1"/>
    <x v="2"/>
    <n v="1"/>
    <n v="38"/>
    <n v="38"/>
    <x v="2"/>
    <x v="1"/>
  </r>
  <r>
    <n v="10937"/>
    <x v="118"/>
    <x v="2"/>
    <x v="3"/>
    <x v="0"/>
    <x v="2"/>
    <x v="4"/>
    <n v="2"/>
    <n v="72"/>
    <n v="144"/>
    <x v="4"/>
    <x v="1"/>
  </r>
  <r>
    <n v="10038"/>
    <x v="119"/>
    <x v="3"/>
    <x v="0"/>
    <x v="0"/>
    <x v="1"/>
    <x v="2"/>
    <n v="4"/>
    <n v="59"/>
    <n v="236"/>
    <x v="3"/>
    <x v="1"/>
  </r>
  <r>
    <n v="11025"/>
    <x v="119"/>
    <x v="0"/>
    <x v="0"/>
    <x v="0"/>
    <x v="1"/>
    <x v="5"/>
    <n v="3"/>
    <n v="115"/>
    <n v="345"/>
    <x v="3"/>
    <x v="0"/>
  </r>
  <r>
    <n v="10081"/>
    <x v="120"/>
    <x v="3"/>
    <x v="2"/>
    <x v="1"/>
    <x v="1"/>
    <x v="2"/>
    <n v="1"/>
    <n v="60"/>
    <n v="60"/>
    <x v="0"/>
    <x v="0"/>
  </r>
  <r>
    <n v="10313"/>
    <x v="120"/>
    <x v="1"/>
    <x v="3"/>
    <x v="1"/>
    <x v="0"/>
    <x v="8"/>
    <n v="3"/>
    <n v="33"/>
    <n v="99"/>
    <x v="0"/>
    <x v="3"/>
  </r>
  <r>
    <n v="10870"/>
    <x v="120"/>
    <x v="0"/>
    <x v="4"/>
    <x v="0"/>
    <x v="1"/>
    <x v="7"/>
    <n v="1"/>
    <n v="141"/>
    <n v="141"/>
    <x v="1"/>
    <x v="1"/>
  </r>
  <r>
    <n v="11001"/>
    <x v="120"/>
    <x v="2"/>
    <x v="0"/>
    <x v="1"/>
    <x v="1"/>
    <x v="7"/>
    <n v="1"/>
    <n v="39"/>
    <n v="39"/>
    <x v="3"/>
    <x v="2"/>
  </r>
  <r>
    <n v="10439"/>
    <x v="121"/>
    <x v="3"/>
    <x v="4"/>
    <x v="0"/>
    <x v="2"/>
    <x v="3"/>
    <n v="3"/>
    <n v="134"/>
    <n v="402"/>
    <x v="2"/>
    <x v="0"/>
  </r>
  <r>
    <n v="10494"/>
    <x v="121"/>
    <x v="0"/>
    <x v="0"/>
    <x v="1"/>
    <x v="1"/>
    <x v="2"/>
    <n v="2"/>
    <n v="80"/>
    <n v="160"/>
    <x v="0"/>
    <x v="1"/>
  </r>
  <r>
    <n v="10829"/>
    <x v="121"/>
    <x v="0"/>
    <x v="3"/>
    <x v="1"/>
    <x v="2"/>
    <x v="3"/>
    <n v="5"/>
    <n v="86"/>
    <n v="430"/>
    <x v="3"/>
    <x v="2"/>
  </r>
  <r>
    <n v="10021"/>
    <x v="122"/>
    <x v="1"/>
    <x v="3"/>
    <x v="1"/>
    <x v="0"/>
    <x v="1"/>
    <n v="5"/>
    <n v="141"/>
    <n v="705"/>
    <x v="3"/>
    <x v="0"/>
  </r>
  <r>
    <n v="10245"/>
    <x v="122"/>
    <x v="3"/>
    <x v="3"/>
    <x v="1"/>
    <x v="2"/>
    <x v="3"/>
    <n v="1"/>
    <n v="142"/>
    <n v="142"/>
    <x v="1"/>
    <x v="2"/>
  </r>
  <r>
    <n v="10490"/>
    <x v="122"/>
    <x v="0"/>
    <x v="3"/>
    <x v="0"/>
    <x v="0"/>
    <x v="8"/>
    <n v="4"/>
    <n v="143"/>
    <n v="572"/>
    <x v="1"/>
    <x v="0"/>
  </r>
  <r>
    <n v="10556"/>
    <x v="122"/>
    <x v="2"/>
    <x v="1"/>
    <x v="0"/>
    <x v="0"/>
    <x v="1"/>
    <n v="5"/>
    <n v="83"/>
    <n v="415"/>
    <x v="4"/>
    <x v="0"/>
  </r>
  <r>
    <n v="11057"/>
    <x v="122"/>
    <x v="3"/>
    <x v="0"/>
    <x v="1"/>
    <x v="1"/>
    <x v="5"/>
    <n v="2"/>
    <n v="127"/>
    <n v="254"/>
    <x v="0"/>
    <x v="0"/>
  </r>
  <r>
    <n v="11164"/>
    <x v="122"/>
    <x v="0"/>
    <x v="0"/>
    <x v="0"/>
    <x v="1"/>
    <x v="7"/>
    <n v="2"/>
    <n v="97"/>
    <n v="194"/>
    <x v="3"/>
    <x v="3"/>
  </r>
  <r>
    <n v="10000"/>
    <x v="123"/>
    <x v="3"/>
    <x v="0"/>
    <x v="1"/>
    <x v="0"/>
    <x v="0"/>
    <n v="1"/>
    <n v="90"/>
    <n v="90"/>
    <x v="1"/>
    <x v="0"/>
  </r>
  <r>
    <n v="10068"/>
    <x v="123"/>
    <x v="2"/>
    <x v="1"/>
    <x v="0"/>
    <x v="0"/>
    <x v="1"/>
    <n v="3"/>
    <n v="102"/>
    <n v="306"/>
    <x v="0"/>
    <x v="3"/>
  </r>
  <r>
    <n v="10755"/>
    <x v="123"/>
    <x v="0"/>
    <x v="3"/>
    <x v="0"/>
    <x v="2"/>
    <x v="4"/>
    <n v="2"/>
    <n v="27"/>
    <n v="54"/>
    <x v="1"/>
    <x v="3"/>
  </r>
  <r>
    <n v="10853"/>
    <x v="123"/>
    <x v="1"/>
    <x v="2"/>
    <x v="0"/>
    <x v="2"/>
    <x v="6"/>
    <n v="5"/>
    <n v="63"/>
    <n v="315"/>
    <x v="3"/>
    <x v="0"/>
  </r>
  <r>
    <n v="11041"/>
    <x v="123"/>
    <x v="1"/>
    <x v="3"/>
    <x v="1"/>
    <x v="2"/>
    <x v="4"/>
    <n v="1"/>
    <n v="129"/>
    <n v="129"/>
    <x v="1"/>
    <x v="1"/>
  </r>
  <r>
    <n v="10347"/>
    <x v="124"/>
    <x v="3"/>
    <x v="1"/>
    <x v="1"/>
    <x v="0"/>
    <x v="0"/>
    <n v="2"/>
    <n v="45"/>
    <n v="90"/>
    <x v="0"/>
    <x v="3"/>
  </r>
  <r>
    <n v="10679"/>
    <x v="124"/>
    <x v="0"/>
    <x v="3"/>
    <x v="1"/>
    <x v="2"/>
    <x v="3"/>
    <n v="4"/>
    <n v="83"/>
    <n v="332"/>
    <x v="1"/>
    <x v="1"/>
  </r>
  <r>
    <n v="10890"/>
    <x v="124"/>
    <x v="2"/>
    <x v="1"/>
    <x v="1"/>
    <x v="0"/>
    <x v="8"/>
    <n v="2"/>
    <n v="103"/>
    <n v="206"/>
    <x v="1"/>
    <x v="3"/>
  </r>
  <r>
    <n v="11022"/>
    <x v="124"/>
    <x v="0"/>
    <x v="4"/>
    <x v="1"/>
    <x v="1"/>
    <x v="5"/>
    <n v="3"/>
    <n v="127"/>
    <n v="381"/>
    <x v="3"/>
    <x v="0"/>
  </r>
  <r>
    <n v="11169"/>
    <x v="124"/>
    <x v="3"/>
    <x v="4"/>
    <x v="0"/>
    <x v="0"/>
    <x v="0"/>
    <n v="5"/>
    <n v="44"/>
    <n v="220"/>
    <x v="3"/>
    <x v="3"/>
  </r>
  <r>
    <n v="10198"/>
    <x v="125"/>
    <x v="3"/>
    <x v="1"/>
    <x v="0"/>
    <x v="1"/>
    <x v="5"/>
    <n v="5"/>
    <n v="127"/>
    <n v="635"/>
    <x v="0"/>
    <x v="1"/>
  </r>
  <r>
    <n v="10492"/>
    <x v="125"/>
    <x v="0"/>
    <x v="4"/>
    <x v="0"/>
    <x v="0"/>
    <x v="1"/>
    <n v="1"/>
    <n v="87"/>
    <n v="87"/>
    <x v="4"/>
    <x v="0"/>
  </r>
  <r>
    <n v="10929"/>
    <x v="126"/>
    <x v="2"/>
    <x v="2"/>
    <x v="0"/>
    <x v="2"/>
    <x v="3"/>
    <n v="5"/>
    <n v="63"/>
    <n v="315"/>
    <x v="2"/>
    <x v="1"/>
  </r>
  <r>
    <n v="10174"/>
    <x v="127"/>
    <x v="2"/>
    <x v="0"/>
    <x v="0"/>
    <x v="1"/>
    <x v="2"/>
    <n v="4"/>
    <n v="141"/>
    <n v="564"/>
    <x v="4"/>
    <x v="0"/>
  </r>
  <r>
    <n v="10323"/>
    <x v="128"/>
    <x v="2"/>
    <x v="2"/>
    <x v="1"/>
    <x v="0"/>
    <x v="0"/>
    <n v="3"/>
    <n v="60"/>
    <n v="180"/>
    <x v="0"/>
    <x v="0"/>
  </r>
  <r>
    <n v="10504"/>
    <x v="128"/>
    <x v="1"/>
    <x v="4"/>
    <x v="0"/>
    <x v="0"/>
    <x v="0"/>
    <n v="1"/>
    <n v="75"/>
    <n v="75"/>
    <x v="4"/>
    <x v="2"/>
  </r>
  <r>
    <n v="10562"/>
    <x v="128"/>
    <x v="3"/>
    <x v="4"/>
    <x v="0"/>
    <x v="0"/>
    <x v="1"/>
    <n v="5"/>
    <n v="31"/>
    <n v="155"/>
    <x v="0"/>
    <x v="2"/>
  </r>
  <r>
    <n v="10357"/>
    <x v="129"/>
    <x v="2"/>
    <x v="4"/>
    <x v="1"/>
    <x v="2"/>
    <x v="4"/>
    <n v="1"/>
    <n v="109"/>
    <n v="109"/>
    <x v="2"/>
    <x v="3"/>
  </r>
  <r>
    <n v="10476"/>
    <x v="129"/>
    <x v="3"/>
    <x v="4"/>
    <x v="1"/>
    <x v="1"/>
    <x v="2"/>
    <n v="5"/>
    <n v="124"/>
    <n v="620"/>
    <x v="1"/>
    <x v="0"/>
  </r>
  <r>
    <n v="10388"/>
    <x v="130"/>
    <x v="1"/>
    <x v="3"/>
    <x v="0"/>
    <x v="0"/>
    <x v="0"/>
    <n v="4"/>
    <n v="95"/>
    <n v="380"/>
    <x v="3"/>
    <x v="1"/>
  </r>
  <r>
    <n v="10390"/>
    <x v="130"/>
    <x v="3"/>
    <x v="1"/>
    <x v="1"/>
    <x v="1"/>
    <x v="7"/>
    <n v="4"/>
    <n v="52"/>
    <n v="208"/>
    <x v="0"/>
    <x v="2"/>
  </r>
  <r>
    <n v="10713"/>
    <x v="130"/>
    <x v="3"/>
    <x v="2"/>
    <x v="1"/>
    <x v="0"/>
    <x v="0"/>
    <n v="3"/>
    <n v="24"/>
    <n v="72"/>
    <x v="0"/>
    <x v="2"/>
  </r>
  <r>
    <n v="10224"/>
    <x v="131"/>
    <x v="0"/>
    <x v="0"/>
    <x v="1"/>
    <x v="1"/>
    <x v="5"/>
    <n v="5"/>
    <n v="22"/>
    <n v="110"/>
    <x v="3"/>
    <x v="3"/>
  </r>
  <r>
    <n v="10338"/>
    <x v="131"/>
    <x v="3"/>
    <x v="4"/>
    <x v="0"/>
    <x v="1"/>
    <x v="2"/>
    <n v="1"/>
    <n v="96"/>
    <n v="96"/>
    <x v="2"/>
    <x v="1"/>
  </r>
  <r>
    <n v="10413"/>
    <x v="131"/>
    <x v="0"/>
    <x v="4"/>
    <x v="1"/>
    <x v="1"/>
    <x v="5"/>
    <n v="1"/>
    <n v="36"/>
    <n v="36"/>
    <x v="4"/>
    <x v="0"/>
  </r>
  <r>
    <n v="10478"/>
    <x v="131"/>
    <x v="1"/>
    <x v="2"/>
    <x v="0"/>
    <x v="1"/>
    <x v="2"/>
    <n v="5"/>
    <n v="84"/>
    <n v="420"/>
    <x v="1"/>
    <x v="2"/>
  </r>
  <r>
    <n v="10770"/>
    <x v="131"/>
    <x v="3"/>
    <x v="2"/>
    <x v="0"/>
    <x v="1"/>
    <x v="5"/>
    <n v="4"/>
    <n v="54"/>
    <n v="216"/>
    <x v="4"/>
    <x v="1"/>
  </r>
  <r>
    <n v="10815"/>
    <x v="131"/>
    <x v="0"/>
    <x v="0"/>
    <x v="1"/>
    <x v="0"/>
    <x v="0"/>
    <n v="1"/>
    <n v="111"/>
    <n v="111"/>
    <x v="1"/>
    <x v="0"/>
  </r>
  <r>
    <n v="11105"/>
    <x v="131"/>
    <x v="2"/>
    <x v="1"/>
    <x v="1"/>
    <x v="2"/>
    <x v="3"/>
    <n v="2"/>
    <n v="116"/>
    <n v="232"/>
    <x v="0"/>
    <x v="0"/>
  </r>
  <r>
    <n v="10017"/>
    <x v="132"/>
    <x v="1"/>
    <x v="0"/>
    <x v="1"/>
    <x v="2"/>
    <x v="3"/>
    <n v="4"/>
    <n v="62"/>
    <n v="248"/>
    <x v="4"/>
    <x v="3"/>
  </r>
  <r>
    <n v="10031"/>
    <x v="132"/>
    <x v="3"/>
    <x v="1"/>
    <x v="1"/>
    <x v="2"/>
    <x v="3"/>
    <n v="2"/>
    <n v="149"/>
    <n v="298"/>
    <x v="0"/>
    <x v="2"/>
  </r>
  <r>
    <n v="10407"/>
    <x v="132"/>
    <x v="1"/>
    <x v="4"/>
    <x v="1"/>
    <x v="0"/>
    <x v="0"/>
    <n v="4"/>
    <n v="95"/>
    <n v="380"/>
    <x v="0"/>
    <x v="0"/>
  </r>
  <r>
    <n v="10834"/>
    <x v="132"/>
    <x v="1"/>
    <x v="3"/>
    <x v="0"/>
    <x v="0"/>
    <x v="1"/>
    <n v="4"/>
    <n v="121"/>
    <n v="484"/>
    <x v="2"/>
    <x v="3"/>
  </r>
  <r>
    <n v="10897"/>
    <x v="132"/>
    <x v="2"/>
    <x v="1"/>
    <x v="1"/>
    <x v="2"/>
    <x v="4"/>
    <n v="4"/>
    <n v="79"/>
    <n v="316"/>
    <x v="4"/>
    <x v="0"/>
  </r>
  <r>
    <n v="11006"/>
    <x v="132"/>
    <x v="3"/>
    <x v="4"/>
    <x v="0"/>
    <x v="1"/>
    <x v="5"/>
    <n v="4"/>
    <n v="95"/>
    <n v="380"/>
    <x v="0"/>
    <x v="2"/>
  </r>
  <r>
    <n v="10039"/>
    <x v="133"/>
    <x v="3"/>
    <x v="4"/>
    <x v="0"/>
    <x v="0"/>
    <x v="8"/>
    <n v="4"/>
    <n v="83"/>
    <n v="332"/>
    <x v="3"/>
    <x v="3"/>
  </r>
  <r>
    <n v="10197"/>
    <x v="133"/>
    <x v="1"/>
    <x v="0"/>
    <x v="1"/>
    <x v="1"/>
    <x v="7"/>
    <n v="4"/>
    <n v="51"/>
    <n v="204"/>
    <x v="3"/>
    <x v="0"/>
  </r>
  <r>
    <n v="10688"/>
    <x v="133"/>
    <x v="1"/>
    <x v="1"/>
    <x v="1"/>
    <x v="0"/>
    <x v="0"/>
    <n v="3"/>
    <n v="110"/>
    <n v="330"/>
    <x v="3"/>
    <x v="2"/>
  </r>
  <r>
    <n v="10263"/>
    <x v="134"/>
    <x v="3"/>
    <x v="3"/>
    <x v="1"/>
    <x v="2"/>
    <x v="3"/>
    <n v="1"/>
    <n v="41"/>
    <n v="41"/>
    <x v="2"/>
    <x v="2"/>
  </r>
  <r>
    <n v="10752"/>
    <x v="134"/>
    <x v="1"/>
    <x v="2"/>
    <x v="1"/>
    <x v="0"/>
    <x v="8"/>
    <n v="2"/>
    <n v="139"/>
    <n v="278"/>
    <x v="1"/>
    <x v="1"/>
  </r>
  <r>
    <n v="10810"/>
    <x v="134"/>
    <x v="1"/>
    <x v="3"/>
    <x v="1"/>
    <x v="1"/>
    <x v="2"/>
    <n v="3"/>
    <n v="36"/>
    <n v="108"/>
    <x v="2"/>
    <x v="2"/>
  </r>
  <r>
    <n v="11112"/>
    <x v="134"/>
    <x v="0"/>
    <x v="3"/>
    <x v="1"/>
    <x v="2"/>
    <x v="4"/>
    <n v="1"/>
    <n v="52"/>
    <n v="52"/>
    <x v="3"/>
    <x v="2"/>
  </r>
  <r>
    <n v="10609"/>
    <x v="135"/>
    <x v="3"/>
    <x v="1"/>
    <x v="1"/>
    <x v="2"/>
    <x v="3"/>
    <n v="3"/>
    <n v="101"/>
    <n v="303"/>
    <x v="0"/>
    <x v="0"/>
  </r>
  <r>
    <n v="10642"/>
    <x v="135"/>
    <x v="0"/>
    <x v="4"/>
    <x v="0"/>
    <x v="1"/>
    <x v="2"/>
    <n v="3"/>
    <n v="105"/>
    <n v="315"/>
    <x v="1"/>
    <x v="3"/>
  </r>
  <r>
    <n v="10716"/>
    <x v="135"/>
    <x v="0"/>
    <x v="4"/>
    <x v="0"/>
    <x v="0"/>
    <x v="8"/>
    <n v="3"/>
    <n v="97"/>
    <n v="291"/>
    <x v="0"/>
    <x v="0"/>
  </r>
  <r>
    <n v="11034"/>
    <x v="135"/>
    <x v="2"/>
    <x v="0"/>
    <x v="1"/>
    <x v="0"/>
    <x v="0"/>
    <n v="3"/>
    <n v="54"/>
    <n v="162"/>
    <x v="1"/>
    <x v="0"/>
  </r>
  <r>
    <n v="10033"/>
    <x v="136"/>
    <x v="0"/>
    <x v="2"/>
    <x v="1"/>
    <x v="1"/>
    <x v="7"/>
    <n v="1"/>
    <n v="59"/>
    <n v="59"/>
    <x v="4"/>
    <x v="1"/>
  </r>
  <r>
    <n v="10857"/>
    <x v="136"/>
    <x v="3"/>
    <x v="1"/>
    <x v="0"/>
    <x v="0"/>
    <x v="8"/>
    <n v="3"/>
    <n v="135"/>
    <n v="405"/>
    <x v="0"/>
    <x v="3"/>
  </r>
  <r>
    <n v="11063"/>
    <x v="136"/>
    <x v="2"/>
    <x v="2"/>
    <x v="0"/>
    <x v="0"/>
    <x v="0"/>
    <n v="4"/>
    <n v="60"/>
    <n v="240"/>
    <x v="0"/>
    <x v="1"/>
  </r>
  <r>
    <n v="10076"/>
    <x v="137"/>
    <x v="2"/>
    <x v="4"/>
    <x v="0"/>
    <x v="1"/>
    <x v="7"/>
    <n v="5"/>
    <n v="52"/>
    <n v="260"/>
    <x v="0"/>
    <x v="3"/>
  </r>
  <r>
    <n v="10425"/>
    <x v="137"/>
    <x v="1"/>
    <x v="1"/>
    <x v="0"/>
    <x v="0"/>
    <x v="8"/>
    <n v="4"/>
    <n v="83"/>
    <n v="332"/>
    <x v="2"/>
    <x v="1"/>
  </r>
  <r>
    <n v="10533"/>
    <x v="137"/>
    <x v="3"/>
    <x v="4"/>
    <x v="1"/>
    <x v="0"/>
    <x v="8"/>
    <n v="3"/>
    <n v="139"/>
    <n v="417"/>
    <x v="2"/>
    <x v="2"/>
  </r>
  <r>
    <n v="10121"/>
    <x v="138"/>
    <x v="3"/>
    <x v="0"/>
    <x v="0"/>
    <x v="2"/>
    <x v="6"/>
    <n v="2"/>
    <n v="20"/>
    <n v="40"/>
    <x v="0"/>
    <x v="0"/>
  </r>
  <r>
    <n v="10911"/>
    <x v="138"/>
    <x v="3"/>
    <x v="4"/>
    <x v="1"/>
    <x v="0"/>
    <x v="0"/>
    <n v="5"/>
    <n v="137"/>
    <n v="685"/>
    <x v="2"/>
    <x v="0"/>
  </r>
  <r>
    <n v="10006"/>
    <x v="139"/>
    <x v="1"/>
    <x v="1"/>
    <x v="1"/>
    <x v="2"/>
    <x v="4"/>
    <n v="1"/>
    <n v="117"/>
    <n v="117"/>
    <x v="4"/>
    <x v="2"/>
  </r>
  <r>
    <n v="10317"/>
    <x v="139"/>
    <x v="2"/>
    <x v="1"/>
    <x v="1"/>
    <x v="2"/>
    <x v="3"/>
    <n v="5"/>
    <n v="59"/>
    <n v="295"/>
    <x v="1"/>
    <x v="1"/>
  </r>
  <r>
    <n v="10635"/>
    <x v="139"/>
    <x v="0"/>
    <x v="0"/>
    <x v="0"/>
    <x v="2"/>
    <x v="4"/>
    <n v="5"/>
    <n v="39"/>
    <n v="195"/>
    <x v="4"/>
    <x v="2"/>
  </r>
  <r>
    <n v="10762"/>
    <x v="139"/>
    <x v="3"/>
    <x v="1"/>
    <x v="0"/>
    <x v="0"/>
    <x v="8"/>
    <n v="4"/>
    <n v="83"/>
    <n v="332"/>
    <x v="4"/>
    <x v="2"/>
  </r>
  <r>
    <n v="10863"/>
    <x v="139"/>
    <x v="1"/>
    <x v="0"/>
    <x v="1"/>
    <x v="2"/>
    <x v="4"/>
    <n v="4"/>
    <n v="48"/>
    <n v="192"/>
    <x v="1"/>
    <x v="1"/>
  </r>
  <r>
    <n v="10990"/>
    <x v="139"/>
    <x v="3"/>
    <x v="2"/>
    <x v="0"/>
    <x v="0"/>
    <x v="1"/>
    <n v="2"/>
    <n v="111"/>
    <n v="222"/>
    <x v="3"/>
    <x v="2"/>
  </r>
  <r>
    <n v="11082"/>
    <x v="139"/>
    <x v="1"/>
    <x v="4"/>
    <x v="1"/>
    <x v="2"/>
    <x v="3"/>
    <n v="4"/>
    <n v="49"/>
    <n v="196"/>
    <x v="2"/>
    <x v="1"/>
  </r>
  <r>
    <n v="10161"/>
    <x v="140"/>
    <x v="1"/>
    <x v="2"/>
    <x v="0"/>
    <x v="0"/>
    <x v="1"/>
    <n v="4"/>
    <n v="138"/>
    <n v="552"/>
    <x v="0"/>
    <x v="1"/>
  </r>
  <r>
    <n v="10615"/>
    <x v="140"/>
    <x v="0"/>
    <x v="2"/>
    <x v="1"/>
    <x v="1"/>
    <x v="5"/>
    <n v="4"/>
    <n v="63"/>
    <n v="252"/>
    <x v="1"/>
    <x v="0"/>
  </r>
  <r>
    <n v="11198"/>
    <x v="140"/>
    <x v="2"/>
    <x v="1"/>
    <x v="0"/>
    <x v="2"/>
    <x v="4"/>
    <n v="4"/>
    <n v="66"/>
    <n v="264"/>
    <x v="1"/>
    <x v="1"/>
  </r>
  <r>
    <n v="10506"/>
    <x v="141"/>
    <x v="0"/>
    <x v="1"/>
    <x v="0"/>
    <x v="0"/>
    <x v="1"/>
    <n v="5"/>
    <n v="64"/>
    <n v="320"/>
    <x v="2"/>
    <x v="0"/>
  </r>
  <r>
    <n v="10885"/>
    <x v="141"/>
    <x v="3"/>
    <x v="0"/>
    <x v="0"/>
    <x v="2"/>
    <x v="4"/>
    <n v="2"/>
    <n v="70"/>
    <n v="140"/>
    <x v="0"/>
    <x v="2"/>
  </r>
  <r>
    <n v="11098"/>
    <x v="141"/>
    <x v="0"/>
    <x v="1"/>
    <x v="0"/>
    <x v="2"/>
    <x v="6"/>
    <n v="2"/>
    <n v="149"/>
    <n v="298"/>
    <x v="2"/>
    <x v="1"/>
  </r>
  <r>
    <n v="11123"/>
    <x v="141"/>
    <x v="2"/>
    <x v="2"/>
    <x v="1"/>
    <x v="0"/>
    <x v="8"/>
    <n v="2"/>
    <n v="25"/>
    <n v="50"/>
    <x v="2"/>
    <x v="2"/>
  </r>
  <r>
    <n v="10149"/>
    <x v="142"/>
    <x v="2"/>
    <x v="4"/>
    <x v="0"/>
    <x v="1"/>
    <x v="7"/>
    <n v="1"/>
    <n v="114"/>
    <n v="114"/>
    <x v="2"/>
    <x v="0"/>
  </r>
  <r>
    <n v="10754"/>
    <x v="142"/>
    <x v="3"/>
    <x v="1"/>
    <x v="1"/>
    <x v="0"/>
    <x v="0"/>
    <n v="4"/>
    <n v="88"/>
    <n v="352"/>
    <x v="2"/>
    <x v="1"/>
  </r>
  <r>
    <n v="11023"/>
    <x v="142"/>
    <x v="1"/>
    <x v="1"/>
    <x v="1"/>
    <x v="2"/>
    <x v="3"/>
    <n v="3"/>
    <n v="74"/>
    <n v="222"/>
    <x v="2"/>
    <x v="1"/>
  </r>
  <r>
    <n v="11061"/>
    <x v="142"/>
    <x v="2"/>
    <x v="0"/>
    <x v="1"/>
    <x v="0"/>
    <x v="8"/>
    <n v="4"/>
    <n v="23"/>
    <n v="92"/>
    <x v="3"/>
    <x v="1"/>
  </r>
  <r>
    <n v="10089"/>
    <x v="143"/>
    <x v="1"/>
    <x v="2"/>
    <x v="1"/>
    <x v="2"/>
    <x v="6"/>
    <n v="4"/>
    <n v="146"/>
    <n v="584"/>
    <x v="2"/>
    <x v="0"/>
  </r>
  <r>
    <n v="10131"/>
    <x v="143"/>
    <x v="0"/>
    <x v="1"/>
    <x v="1"/>
    <x v="1"/>
    <x v="2"/>
    <n v="4"/>
    <n v="33"/>
    <n v="132"/>
    <x v="1"/>
    <x v="1"/>
  </r>
  <r>
    <n v="10695"/>
    <x v="143"/>
    <x v="2"/>
    <x v="0"/>
    <x v="0"/>
    <x v="1"/>
    <x v="7"/>
    <n v="4"/>
    <n v="115"/>
    <n v="460"/>
    <x v="4"/>
    <x v="3"/>
  </r>
  <r>
    <n v="10748"/>
    <x v="143"/>
    <x v="0"/>
    <x v="4"/>
    <x v="0"/>
    <x v="2"/>
    <x v="6"/>
    <n v="1"/>
    <n v="74"/>
    <n v="74"/>
    <x v="1"/>
    <x v="3"/>
  </r>
  <r>
    <n v="11154"/>
    <x v="143"/>
    <x v="2"/>
    <x v="4"/>
    <x v="0"/>
    <x v="1"/>
    <x v="5"/>
    <n v="5"/>
    <n v="108"/>
    <n v="540"/>
    <x v="0"/>
    <x v="3"/>
  </r>
  <r>
    <n v="10700"/>
    <x v="144"/>
    <x v="3"/>
    <x v="2"/>
    <x v="0"/>
    <x v="0"/>
    <x v="1"/>
    <n v="3"/>
    <n v="141"/>
    <n v="423"/>
    <x v="4"/>
    <x v="0"/>
  </r>
  <r>
    <n v="10967"/>
    <x v="144"/>
    <x v="2"/>
    <x v="4"/>
    <x v="1"/>
    <x v="2"/>
    <x v="4"/>
    <n v="3"/>
    <n v="49"/>
    <n v="147"/>
    <x v="4"/>
    <x v="1"/>
  </r>
  <r>
    <n v="11166"/>
    <x v="144"/>
    <x v="1"/>
    <x v="1"/>
    <x v="1"/>
    <x v="0"/>
    <x v="0"/>
    <n v="3"/>
    <n v="44"/>
    <n v="132"/>
    <x v="3"/>
    <x v="0"/>
  </r>
  <r>
    <n v="10082"/>
    <x v="145"/>
    <x v="2"/>
    <x v="0"/>
    <x v="0"/>
    <x v="1"/>
    <x v="5"/>
    <n v="5"/>
    <n v="140"/>
    <n v="700"/>
    <x v="4"/>
    <x v="3"/>
  </r>
  <r>
    <n v="10292"/>
    <x v="145"/>
    <x v="2"/>
    <x v="1"/>
    <x v="1"/>
    <x v="2"/>
    <x v="3"/>
    <n v="1"/>
    <n v="76"/>
    <n v="76"/>
    <x v="1"/>
    <x v="2"/>
  </r>
  <r>
    <n v="10579"/>
    <x v="145"/>
    <x v="1"/>
    <x v="3"/>
    <x v="0"/>
    <x v="0"/>
    <x v="1"/>
    <n v="1"/>
    <n v="68"/>
    <n v="68"/>
    <x v="4"/>
    <x v="3"/>
  </r>
  <r>
    <n v="10908"/>
    <x v="145"/>
    <x v="2"/>
    <x v="3"/>
    <x v="1"/>
    <x v="1"/>
    <x v="5"/>
    <n v="2"/>
    <n v="79"/>
    <n v="158"/>
    <x v="4"/>
    <x v="0"/>
  </r>
  <r>
    <n v="10173"/>
    <x v="146"/>
    <x v="3"/>
    <x v="4"/>
    <x v="1"/>
    <x v="2"/>
    <x v="3"/>
    <n v="4"/>
    <n v="29"/>
    <n v="116"/>
    <x v="3"/>
    <x v="2"/>
  </r>
  <r>
    <n v="10873"/>
    <x v="146"/>
    <x v="1"/>
    <x v="3"/>
    <x v="1"/>
    <x v="2"/>
    <x v="4"/>
    <n v="1"/>
    <n v="33"/>
    <n v="33"/>
    <x v="1"/>
    <x v="3"/>
  </r>
  <r>
    <n v="10920"/>
    <x v="146"/>
    <x v="2"/>
    <x v="2"/>
    <x v="0"/>
    <x v="2"/>
    <x v="3"/>
    <n v="1"/>
    <n v="65"/>
    <n v="65"/>
    <x v="0"/>
    <x v="0"/>
  </r>
  <r>
    <n v="10279"/>
    <x v="147"/>
    <x v="1"/>
    <x v="4"/>
    <x v="1"/>
    <x v="1"/>
    <x v="7"/>
    <n v="4"/>
    <n v="46"/>
    <n v="184"/>
    <x v="0"/>
    <x v="2"/>
  </r>
  <r>
    <n v="10212"/>
    <x v="148"/>
    <x v="0"/>
    <x v="0"/>
    <x v="0"/>
    <x v="1"/>
    <x v="2"/>
    <n v="3"/>
    <n v="77"/>
    <n v="231"/>
    <x v="4"/>
    <x v="3"/>
  </r>
  <r>
    <n v="10765"/>
    <x v="148"/>
    <x v="3"/>
    <x v="0"/>
    <x v="0"/>
    <x v="1"/>
    <x v="5"/>
    <n v="1"/>
    <n v="80"/>
    <n v="80"/>
    <x v="4"/>
    <x v="3"/>
  </r>
  <r>
    <n v="10793"/>
    <x v="148"/>
    <x v="1"/>
    <x v="3"/>
    <x v="0"/>
    <x v="1"/>
    <x v="2"/>
    <n v="2"/>
    <n v="50"/>
    <n v="100"/>
    <x v="1"/>
    <x v="1"/>
  </r>
  <r>
    <n v="10259"/>
    <x v="149"/>
    <x v="3"/>
    <x v="2"/>
    <x v="1"/>
    <x v="0"/>
    <x v="0"/>
    <n v="4"/>
    <n v="39"/>
    <n v="156"/>
    <x v="1"/>
    <x v="3"/>
  </r>
  <r>
    <n v="10546"/>
    <x v="150"/>
    <x v="2"/>
    <x v="1"/>
    <x v="1"/>
    <x v="0"/>
    <x v="0"/>
    <n v="5"/>
    <n v="54"/>
    <n v="270"/>
    <x v="0"/>
    <x v="2"/>
  </r>
  <r>
    <n v="10827"/>
    <x v="150"/>
    <x v="2"/>
    <x v="4"/>
    <x v="0"/>
    <x v="0"/>
    <x v="8"/>
    <n v="4"/>
    <n v="70"/>
    <n v="280"/>
    <x v="2"/>
    <x v="1"/>
  </r>
  <r>
    <n v="11161"/>
    <x v="150"/>
    <x v="0"/>
    <x v="4"/>
    <x v="0"/>
    <x v="2"/>
    <x v="6"/>
    <n v="5"/>
    <n v="71"/>
    <n v="355"/>
    <x v="1"/>
    <x v="3"/>
  </r>
  <r>
    <n v="10736"/>
    <x v="151"/>
    <x v="2"/>
    <x v="4"/>
    <x v="0"/>
    <x v="1"/>
    <x v="2"/>
    <n v="3"/>
    <n v="59"/>
    <n v="177"/>
    <x v="2"/>
    <x v="1"/>
  </r>
  <r>
    <n v="11024"/>
    <x v="151"/>
    <x v="2"/>
    <x v="4"/>
    <x v="1"/>
    <x v="1"/>
    <x v="5"/>
    <n v="3"/>
    <n v="105"/>
    <n v="315"/>
    <x v="1"/>
    <x v="1"/>
  </r>
  <r>
    <n v="10040"/>
    <x v="152"/>
    <x v="3"/>
    <x v="0"/>
    <x v="1"/>
    <x v="2"/>
    <x v="4"/>
    <n v="4"/>
    <n v="109"/>
    <n v="436"/>
    <x v="0"/>
    <x v="3"/>
  </r>
  <r>
    <n v="10080"/>
    <x v="152"/>
    <x v="2"/>
    <x v="2"/>
    <x v="1"/>
    <x v="1"/>
    <x v="5"/>
    <n v="3"/>
    <n v="129"/>
    <n v="387"/>
    <x v="0"/>
    <x v="1"/>
  </r>
  <r>
    <n v="10903"/>
    <x v="152"/>
    <x v="2"/>
    <x v="3"/>
    <x v="0"/>
    <x v="1"/>
    <x v="7"/>
    <n v="5"/>
    <n v="52"/>
    <n v="260"/>
    <x v="4"/>
    <x v="1"/>
  </r>
  <r>
    <n v="10199"/>
    <x v="153"/>
    <x v="1"/>
    <x v="4"/>
    <x v="1"/>
    <x v="1"/>
    <x v="2"/>
    <n v="4"/>
    <n v="147"/>
    <n v="588"/>
    <x v="2"/>
    <x v="3"/>
  </r>
  <r>
    <n v="10246"/>
    <x v="153"/>
    <x v="0"/>
    <x v="1"/>
    <x v="0"/>
    <x v="1"/>
    <x v="5"/>
    <n v="4"/>
    <n v="111"/>
    <n v="444"/>
    <x v="2"/>
    <x v="0"/>
  </r>
  <r>
    <n v="10264"/>
    <x v="153"/>
    <x v="1"/>
    <x v="1"/>
    <x v="0"/>
    <x v="1"/>
    <x v="7"/>
    <n v="1"/>
    <n v="21"/>
    <n v="21"/>
    <x v="3"/>
    <x v="1"/>
  </r>
  <r>
    <n v="10336"/>
    <x v="153"/>
    <x v="1"/>
    <x v="1"/>
    <x v="1"/>
    <x v="0"/>
    <x v="8"/>
    <n v="2"/>
    <n v="135"/>
    <n v="270"/>
    <x v="3"/>
    <x v="1"/>
  </r>
  <r>
    <n v="10910"/>
    <x v="154"/>
    <x v="1"/>
    <x v="3"/>
    <x v="1"/>
    <x v="1"/>
    <x v="7"/>
    <n v="2"/>
    <n v="72"/>
    <n v="144"/>
    <x v="1"/>
    <x v="2"/>
  </r>
  <r>
    <n v="11040"/>
    <x v="154"/>
    <x v="3"/>
    <x v="0"/>
    <x v="0"/>
    <x v="0"/>
    <x v="0"/>
    <n v="3"/>
    <n v="25"/>
    <n v="75"/>
    <x v="1"/>
    <x v="1"/>
  </r>
  <r>
    <n v="10327"/>
    <x v="155"/>
    <x v="0"/>
    <x v="4"/>
    <x v="0"/>
    <x v="1"/>
    <x v="7"/>
    <n v="4"/>
    <n v="92"/>
    <n v="368"/>
    <x v="3"/>
    <x v="2"/>
  </r>
  <r>
    <n v="10378"/>
    <x v="155"/>
    <x v="1"/>
    <x v="0"/>
    <x v="1"/>
    <x v="2"/>
    <x v="3"/>
    <n v="2"/>
    <n v="36"/>
    <n v="72"/>
    <x v="0"/>
    <x v="1"/>
  </r>
  <r>
    <n v="10719"/>
    <x v="155"/>
    <x v="0"/>
    <x v="0"/>
    <x v="0"/>
    <x v="2"/>
    <x v="4"/>
    <n v="4"/>
    <n v="109"/>
    <n v="436"/>
    <x v="1"/>
    <x v="2"/>
  </r>
  <r>
    <n v="10878"/>
    <x v="155"/>
    <x v="3"/>
    <x v="0"/>
    <x v="0"/>
    <x v="1"/>
    <x v="2"/>
    <n v="4"/>
    <n v="111"/>
    <n v="444"/>
    <x v="4"/>
    <x v="2"/>
  </r>
  <r>
    <n v="11134"/>
    <x v="155"/>
    <x v="1"/>
    <x v="0"/>
    <x v="1"/>
    <x v="0"/>
    <x v="1"/>
    <n v="5"/>
    <n v="100"/>
    <n v="500"/>
    <x v="0"/>
    <x v="1"/>
  </r>
  <r>
    <n v="11189"/>
    <x v="155"/>
    <x v="1"/>
    <x v="2"/>
    <x v="1"/>
    <x v="0"/>
    <x v="1"/>
    <n v="2"/>
    <n v="148"/>
    <n v="296"/>
    <x v="1"/>
    <x v="0"/>
  </r>
  <r>
    <n v="10027"/>
    <x v="156"/>
    <x v="2"/>
    <x v="4"/>
    <x v="0"/>
    <x v="1"/>
    <x v="7"/>
    <n v="1"/>
    <n v="35"/>
    <n v="35"/>
    <x v="1"/>
    <x v="1"/>
  </r>
  <r>
    <n v="10308"/>
    <x v="156"/>
    <x v="0"/>
    <x v="1"/>
    <x v="1"/>
    <x v="2"/>
    <x v="3"/>
    <n v="1"/>
    <n v="46"/>
    <n v="46"/>
    <x v="2"/>
    <x v="1"/>
  </r>
  <r>
    <n v="10970"/>
    <x v="157"/>
    <x v="3"/>
    <x v="1"/>
    <x v="1"/>
    <x v="2"/>
    <x v="6"/>
    <n v="1"/>
    <n v="137"/>
    <n v="137"/>
    <x v="2"/>
    <x v="3"/>
  </r>
  <r>
    <n v="10571"/>
    <x v="158"/>
    <x v="3"/>
    <x v="4"/>
    <x v="0"/>
    <x v="0"/>
    <x v="1"/>
    <n v="1"/>
    <n v="67"/>
    <n v="67"/>
    <x v="2"/>
    <x v="3"/>
  </r>
  <r>
    <n v="10746"/>
    <x v="158"/>
    <x v="1"/>
    <x v="2"/>
    <x v="0"/>
    <x v="0"/>
    <x v="8"/>
    <n v="5"/>
    <n v="25"/>
    <n v="125"/>
    <x v="4"/>
    <x v="0"/>
  </r>
  <r>
    <n v="10889"/>
    <x v="158"/>
    <x v="1"/>
    <x v="0"/>
    <x v="1"/>
    <x v="2"/>
    <x v="3"/>
    <n v="4"/>
    <n v="115"/>
    <n v="460"/>
    <x v="1"/>
    <x v="1"/>
  </r>
  <r>
    <n v="11121"/>
    <x v="158"/>
    <x v="0"/>
    <x v="0"/>
    <x v="1"/>
    <x v="0"/>
    <x v="1"/>
    <n v="4"/>
    <n v="131"/>
    <n v="524"/>
    <x v="3"/>
    <x v="3"/>
  </r>
  <r>
    <n v="11053"/>
    <x v="159"/>
    <x v="1"/>
    <x v="3"/>
    <x v="0"/>
    <x v="2"/>
    <x v="4"/>
    <n v="4"/>
    <n v="110"/>
    <n v="440"/>
    <x v="2"/>
    <x v="2"/>
  </r>
  <r>
    <n v="11115"/>
    <x v="159"/>
    <x v="2"/>
    <x v="2"/>
    <x v="0"/>
    <x v="1"/>
    <x v="5"/>
    <n v="5"/>
    <n v="89"/>
    <n v="445"/>
    <x v="2"/>
    <x v="1"/>
  </r>
  <r>
    <n v="10097"/>
    <x v="160"/>
    <x v="3"/>
    <x v="0"/>
    <x v="0"/>
    <x v="0"/>
    <x v="1"/>
    <n v="4"/>
    <n v="136"/>
    <n v="544"/>
    <x v="0"/>
    <x v="3"/>
  </r>
  <r>
    <n v="10177"/>
    <x v="160"/>
    <x v="2"/>
    <x v="4"/>
    <x v="0"/>
    <x v="0"/>
    <x v="0"/>
    <n v="5"/>
    <n v="95"/>
    <n v="475"/>
    <x v="4"/>
    <x v="2"/>
  </r>
  <r>
    <n v="10271"/>
    <x v="160"/>
    <x v="3"/>
    <x v="3"/>
    <x v="0"/>
    <x v="0"/>
    <x v="1"/>
    <n v="2"/>
    <n v="96"/>
    <n v="192"/>
    <x v="0"/>
    <x v="3"/>
  </r>
  <r>
    <n v="10325"/>
    <x v="160"/>
    <x v="3"/>
    <x v="3"/>
    <x v="0"/>
    <x v="0"/>
    <x v="1"/>
    <n v="4"/>
    <n v="77"/>
    <n v="308"/>
    <x v="4"/>
    <x v="0"/>
  </r>
  <r>
    <n v="10607"/>
    <x v="160"/>
    <x v="3"/>
    <x v="0"/>
    <x v="0"/>
    <x v="2"/>
    <x v="3"/>
    <n v="3"/>
    <n v="73"/>
    <n v="219"/>
    <x v="4"/>
    <x v="2"/>
  </r>
  <r>
    <n v="10892"/>
    <x v="160"/>
    <x v="0"/>
    <x v="2"/>
    <x v="0"/>
    <x v="1"/>
    <x v="2"/>
    <n v="4"/>
    <n v="65"/>
    <n v="260"/>
    <x v="2"/>
    <x v="3"/>
  </r>
  <r>
    <n v="11131"/>
    <x v="160"/>
    <x v="1"/>
    <x v="0"/>
    <x v="1"/>
    <x v="0"/>
    <x v="8"/>
    <n v="4"/>
    <n v="91"/>
    <n v="364"/>
    <x v="4"/>
    <x v="2"/>
  </r>
  <r>
    <n v="10789"/>
    <x v="161"/>
    <x v="3"/>
    <x v="4"/>
    <x v="1"/>
    <x v="1"/>
    <x v="5"/>
    <n v="5"/>
    <n v="47"/>
    <n v="235"/>
    <x v="2"/>
    <x v="3"/>
  </r>
  <r>
    <n v="11127"/>
    <x v="161"/>
    <x v="1"/>
    <x v="0"/>
    <x v="1"/>
    <x v="2"/>
    <x v="4"/>
    <n v="2"/>
    <n v="46"/>
    <n v="92"/>
    <x v="3"/>
    <x v="1"/>
  </r>
  <r>
    <n v="10272"/>
    <x v="162"/>
    <x v="1"/>
    <x v="1"/>
    <x v="0"/>
    <x v="1"/>
    <x v="5"/>
    <n v="4"/>
    <n v="82"/>
    <n v="328"/>
    <x v="4"/>
    <x v="0"/>
  </r>
  <r>
    <n v="10904"/>
    <x v="162"/>
    <x v="2"/>
    <x v="2"/>
    <x v="1"/>
    <x v="1"/>
    <x v="5"/>
    <n v="4"/>
    <n v="96"/>
    <n v="384"/>
    <x v="0"/>
    <x v="1"/>
  </r>
  <r>
    <n v="10916"/>
    <x v="162"/>
    <x v="1"/>
    <x v="3"/>
    <x v="1"/>
    <x v="1"/>
    <x v="7"/>
    <n v="1"/>
    <n v="149"/>
    <n v="149"/>
    <x v="4"/>
    <x v="1"/>
  </r>
  <r>
    <n v="11014"/>
    <x v="162"/>
    <x v="1"/>
    <x v="2"/>
    <x v="0"/>
    <x v="1"/>
    <x v="2"/>
    <n v="4"/>
    <n v="52"/>
    <n v="208"/>
    <x v="0"/>
    <x v="0"/>
  </r>
  <r>
    <n v="11035"/>
    <x v="162"/>
    <x v="2"/>
    <x v="2"/>
    <x v="0"/>
    <x v="2"/>
    <x v="3"/>
    <n v="3"/>
    <n v="114"/>
    <n v="342"/>
    <x v="0"/>
    <x v="3"/>
  </r>
  <r>
    <n v="10552"/>
    <x v="163"/>
    <x v="3"/>
    <x v="0"/>
    <x v="1"/>
    <x v="1"/>
    <x v="2"/>
    <n v="5"/>
    <n v="58"/>
    <n v="290"/>
    <x v="2"/>
    <x v="3"/>
  </r>
  <r>
    <n v="10925"/>
    <x v="163"/>
    <x v="0"/>
    <x v="2"/>
    <x v="1"/>
    <x v="2"/>
    <x v="6"/>
    <n v="5"/>
    <n v="47"/>
    <n v="235"/>
    <x v="1"/>
    <x v="1"/>
  </r>
  <r>
    <n v="10790"/>
    <x v="164"/>
    <x v="2"/>
    <x v="2"/>
    <x v="0"/>
    <x v="1"/>
    <x v="2"/>
    <n v="3"/>
    <n v="21"/>
    <n v="63"/>
    <x v="4"/>
    <x v="1"/>
  </r>
  <r>
    <n v="11081"/>
    <x v="164"/>
    <x v="2"/>
    <x v="1"/>
    <x v="0"/>
    <x v="1"/>
    <x v="5"/>
    <n v="2"/>
    <n v="122"/>
    <n v="244"/>
    <x v="1"/>
    <x v="3"/>
  </r>
  <r>
    <n v="10391"/>
    <x v="165"/>
    <x v="0"/>
    <x v="1"/>
    <x v="0"/>
    <x v="2"/>
    <x v="3"/>
    <n v="3"/>
    <n v="127"/>
    <n v="381"/>
    <x v="2"/>
    <x v="0"/>
  </r>
  <r>
    <n v="10419"/>
    <x v="165"/>
    <x v="1"/>
    <x v="1"/>
    <x v="0"/>
    <x v="1"/>
    <x v="7"/>
    <n v="2"/>
    <n v="136"/>
    <n v="272"/>
    <x v="3"/>
    <x v="0"/>
  </r>
  <r>
    <n v="10452"/>
    <x v="165"/>
    <x v="0"/>
    <x v="0"/>
    <x v="1"/>
    <x v="1"/>
    <x v="7"/>
    <n v="2"/>
    <n v="144"/>
    <n v="288"/>
    <x v="3"/>
    <x v="2"/>
  </r>
  <r>
    <n v="10589"/>
    <x v="165"/>
    <x v="2"/>
    <x v="4"/>
    <x v="1"/>
    <x v="2"/>
    <x v="4"/>
    <n v="5"/>
    <n v="96"/>
    <n v="480"/>
    <x v="2"/>
    <x v="1"/>
  </r>
  <r>
    <n v="10958"/>
    <x v="165"/>
    <x v="2"/>
    <x v="4"/>
    <x v="0"/>
    <x v="1"/>
    <x v="2"/>
    <n v="1"/>
    <n v="111"/>
    <n v="111"/>
    <x v="2"/>
    <x v="1"/>
  </r>
  <r>
    <n v="11070"/>
    <x v="165"/>
    <x v="1"/>
    <x v="2"/>
    <x v="1"/>
    <x v="0"/>
    <x v="8"/>
    <n v="2"/>
    <n v="44"/>
    <n v="88"/>
    <x v="1"/>
    <x v="1"/>
  </r>
  <r>
    <n v="10154"/>
    <x v="166"/>
    <x v="2"/>
    <x v="2"/>
    <x v="1"/>
    <x v="0"/>
    <x v="1"/>
    <n v="5"/>
    <n v="58"/>
    <n v="290"/>
    <x v="4"/>
    <x v="2"/>
  </r>
  <r>
    <n v="10270"/>
    <x v="166"/>
    <x v="1"/>
    <x v="1"/>
    <x v="0"/>
    <x v="2"/>
    <x v="6"/>
    <n v="1"/>
    <n v="121"/>
    <n v="121"/>
    <x v="4"/>
    <x v="3"/>
  </r>
  <r>
    <n v="10394"/>
    <x v="166"/>
    <x v="3"/>
    <x v="1"/>
    <x v="1"/>
    <x v="0"/>
    <x v="0"/>
    <n v="1"/>
    <n v="144"/>
    <n v="144"/>
    <x v="3"/>
    <x v="3"/>
  </r>
  <r>
    <n v="10606"/>
    <x v="166"/>
    <x v="1"/>
    <x v="4"/>
    <x v="1"/>
    <x v="2"/>
    <x v="6"/>
    <n v="1"/>
    <n v="42"/>
    <n v="42"/>
    <x v="1"/>
    <x v="2"/>
  </r>
  <r>
    <n v="10994"/>
    <x v="166"/>
    <x v="0"/>
    <x v="0"/>
    <x v="1"/>
    <x v="2"/>
    <x v="6"/>
    <n v="1"/>
    <n v="112"/>
    <n v="112"/>
    <x v="4"/>
    <x v="0"/>
  </r>
  <r>
    <n v="11145"/>
    <x v="166"/>
    <x v="1"/>
    <x v="0"/>
    <x v="1"/>
    <x v="0"/>
    <x v="0"/>
    <n v="2"/>
    <n v="67"/>
    <n v="134"/>
    <x v="2"/>
    <x v="3"/>
  </r>
  <r>
    <n v="10054"/>
    <x v="167"/>
    <x v="0"/>
    <x v="2"/>
    <x v="1"/>
    <x v="0"/>
    <x v="8"/>
    <n v="2"/>
    <n v="89"/>
    <n v="178"/>
    <x v="0"/>
    <x v="1"/>
  </r>
  <r>
    <n v="10687"/>
    <x v="167"/>
    <x v="3"/>
    <x v="2"/>
    <x v="1"/>
    <x v="0"/>
    <x v="1"/>
    <n v="2"/>
    <n v="55"/>
    <n v="110"/>
    <x v="2"/>
    <x v="1"/>
  </r>
  <r>
    <n v="11148"/>
    <x v="167"/>
    <x v="1"/>
    <x v="3"/>
    <x v="0"/>
    <x v="2"/>
    <x v="4"/>
    <n v="1"/>
    <n v="97"/>
    <n v="97"/>
    <x v="1"/>
    <x v="2"/>
  </r>
  <r>
    <n v="10352"/>
    <x v="168"/>
    <x v="0"/>
    <x v="1"/>
    <x v="1"/>
    <x v="2"/>
    <x v="6"/>
    <n v="4"/>
    <n v="45"/>
    <n v="180"/>
    <x v="0"/>
    <x v="3"/>
  </r>
  <r>
    <n v="10543"/>
    <x v="168"/>
    <x v="3"/>
    <x v="2"/>
    <x v="0"/>
    <x v="2"/>
    <x v="3"/>
    <n v="4"/>
    <n v="149"/>
    <n v="596"/>
    <x v="4"/>
    <x v="2"/>
  </r>
  <r>
    <n v="10658"/>
    <x v="168"/>
    <x v="2"/>
    <x v="3"/>
    <x v="1"/>
    <x v="2"/>
    <x v="4"/>
    <n v="3"/>
    <n v="34"/>
    <n v="102"/>
    <x v="0"/>
    <x v="3"/>
  </r>
  <r>
    <n v="10974"/>
    <x v="168"/>
    <x v="1"/>
    <x v="3"/>
    <x v="0"/>
    <x v="0"/>
    <x v="0"/>
    <n v="1"/>
    <n v="120"/>
    <n v="120"/>
    <x v="2"/>
    <x v="3"/>
  </r>
  <r>
    <n v="11124"/>
    <x v="168"/>
    <x v="2"/>
    <x v="4"/>
    <x v="0"/>
    <x v="2"/>
    <x v="6"/>
    <n v="1"/>
    <n v="30"/>
    <n v="30"/>
    <x v="3"/>
    <x v="3"/>
  </r>
  <r>
    <n v="10422"/>
    <x v="169"/>
    <x v="2"/>
    <x v="3"/>
    <x v="1"/>
    <x v="1"/>
    <x v="7"/>
    <n v="4"/>
    <n v="68"/>
    <n v="272"/>
    <x v="1"/>
    <x v="0"/>
  </r>
  <r>
    <n v="10489"/>
    <x v="170"/>
    <x v="2"/>
    <x v="2"/>
    <x v="0"/>
    <x v="0"/>
    <x v="0"/>
    <n v="5"/>
    <n v="95"/>
    <n v="475"/>
    <x v="1"/>
    <x v="2"/>
  </r>
  <r>
    <n v="10880"/>
    <x v="170"/>
    <x v="3"/>
    <x v="3"/>
    <x v="0"/>
    <x v="2"/>
    <x v="4"/>
    <n v="2"/>
    <n v="37"/>
    <n v="74"/>
    <x v="1"/>
    <x v="2"/>
  </r>
  <r>
    <n v="10196"/>
    <x v="171"/>
    <x v="1"/>
    <x v="0"/>
    <x v="0"/>
    <x v="0"/>
    <x v="0"/>
    <n v="3"/>
    <n v="101"/>
    <n v="303"/>
    <x v="1"/>
    <x v="0"/>
  </r>
  <r>
    <n v="10381"/>
    <x v="171"/>
    <x v="3"/>
    <x v="1"/>
    <x v="1"/>
    <x v="2"/>
    <x v="6"/>
    <n v="5"/>
    <n v="109"/>
    <n v="545"/>
    <x v="4"/>
    <x v="0"/>
  </r>
  <r>
    <n v="10505"/>
    <x v="171"/>
    <x v="2"/>
    <x v="3"/>
    <x v="1"/>
    <x v="1"/>
    <x v="5"/>
    <n v="5"/>
    <n v="85"/>
    <n v="425"/>
    <x v="4"/>
    <x v="1"/>
  </r>
  <r>
    <n v="10705"/>
    <x v="171"/>
    <x v="0"/>
    <x v="1"/>
    <x v="0"/>
    <x v="1"/>
    <x v="5"/>
    <n v="1"/>
    <n v="92"/>
    <n v="92"/>
    <x v="1"/>
    <x v="0"/>
  </r>
  <r>
    <n v="11015"/>
    <x v="171"/>
    <x v="2"/>
    <x v="0"/>
    <x v="1"/>
    <x v="2"/>
    <x v="4"/>
    <n v="2"/>
    <n v="59"/>
    <n v="118"/>
    <x v="4"/>
    <x v="3"/>
  </r>
  <r>
    <n v="10414"/>
    <x v="172"/>
    <x v="1"/>
    <x v="0"/>
    <x v="1"/>
    <x v="1"/>
    <x v="2"/>
    <n v="2"/>
    <n v="143"/>
    <n v="286"/>
    <x v="3"/>
    <x v="1"/>
  </r>
  <r>
    <n v="10913"/>
    <x v="172"/>
    <x v="0"/>
    <x v="3"/>
    <x v="1"/>
    <x v="0"/>
    <x v="0"/>
    <n v="3"/>
    <n v="136"/>
    <n v="408"/>
    <x v="2"/>
    <x v="1"/>
  </r>
  <r>
    <n v="11125"/>
    <x v="172"/>
    <x v="1"/>
    <x v="4"/>
    <x v="0"/>
    <x v="0"/>
    <x v="8"/>
    <n v="3"/>
    <n v="101"/>
    <n v="303"/>
    <x v="2"/>
    <x v="0"/>
  </r>
  <r>
    <n v="11050"/>
    <x v="173"/>
    <x v="2"/>
    <x v="1"/>
    <x v="0"/>
    <x v="0"/>
    <x v="1"/>
    <n v="3"/>
    <n v="93"/>
    <n v="279"/>
    <x v="4"/>
    <x v="2"/>
  </r>
  <r>
    <n v="10041"/>
    <x v="174"/>
    <x v="1"/>
    <x v="2"/>
    <x v="0"/>
    <x v="1"/>
    <x v="5"/>
    <n v="1"/>
    <n v="91"/>
    <n v="91"/>
    <x v="3"/>
    <x v="0"/>
  </r>
  <r>
    <n v="10831"/>
    <x v="174"/>
    <x v="0"/>
    <x v="1"/>
    <x v="1"/>
    <x v="1"/>
    <x v="5"/>
    <n v="2"/>
    <n v="79"/>
    <n v="158"/>
    <x v="2"/>
    <x v="1"/>
  </r>
  <r>
    <n v="10073"/>
    <x v="175"/>
    <x v="1"/>
    <x v="1"/>
    <x v="0"/>
    <x v="1"/>
    <x v="2"/>
    <n v="5"/>
    <n v="104"/>
    <n v="520"/>
    <x v="4"/>
    <x v="1"/>
  </r>
  <r>
    <n v="10486"/>
    <x v="175"/>
    <x v="1"/>
    <x v="3"/>
    <x v="1"/>
    <x v="2"/>
    <x v="4"/>
    <n v="3"/>
    <n v="122"/>
    <n v="366"/>
    <x v="1"/>
    <x v="0"/>
  </r>
  <r>
    <n v="10767"/>
    <x v="175"/>
    <x v="1"/>
    <x v="2"/>
    <x v="0"/>
    <x v="0"/>
    <x v="8"/>
    <n v="5"/>
    <n v="36"/>
    <n v="180"/>
    <x v="2"/>
    <x v="0"/>
  </r>
  <r>
    <n v="10342"/>
    <x v="176"/>
    <x v="3"/>
    <x v="0"/>
    <x v="0"/>
    <x v="2"/>
    <x v="6"/>
    <n v="4"/>
    <n v="64"/>
    <n v="256"/>
    <x v="4"/>
    <x v="3"/>
  </r>
  <r>
    <n v="10420"/>
    <x v="176"/>
    <x v="0"/>
    <x v="2"/>
    <x v="0"/>
    <x v="0"/>
    <x v="0"/>
    <n v="1"/>
    <n v="107"/>
    <n v="107"/>
    <x v="3"/>
    <x v="0"/>
  </r>
  <r>
    <n v="10493"/>
    <x v="176"/>
    <x v="3"/>
    <x v="2"/>
    <x v="0"/>
    <x v="0"/>
    <x v="0"/>
    <n v="4"/>
    <n v="100"/>
    <n v="400"/>
    <x v="0"/>
    <x v="1"/>
  </r>
  <r>
    <n v="10779"/>
    <x v="176"/>
    <x v="2"/>
    <x v="4"/>
    <x v="0"/>
    <x v="2"/>
    <x v="6"/>
    <n v="2"/>
    <n v="140"/>
    <n v="280"/>
    <x v="1"/>
    <x v="3"/>
  </r>
  <r>
    <n v="10799"/>
    <x v="176"/>
    <x v="0"/>
    <x v="2"/>
    <x v="1"/>
    <x v="1"/>
    <x v="7"/>
    <n v="4"/>
    <n v="84"/>
    <n v="336"/>
    <x v="1"/>
    <x v="0"/>
  </r>
  <r>
    <n v="11159"/>
    <x v="176"/>
    <x v="3"/>
    <x v="3"/>
    <x v="0"/>
    <x v="1"/>
    <x v="7"/>
    <n v="1"/>
    <n v="141"/>
    <n v="141"/>
    <x v="2"/>
    <x v="0"/>
  </r>
  <r>
    <n v="11069"/>
    <x v="177"/>
    <x v="0"/>
    <x v="3"/>
    <x v="1"/>
    <x v="1"/>
    <x v="7"/>
    <n v="3"/>
    <n v="22"/>
    <n v="66"/>
    <x v="4"/>
    <x v="3"/>
  </r>
  <r>
    <n v="10122"/>
    <x v="178"/>
    <x v="3"/>
    <x v="2"/>
    <x v="0"/>
    <x v="0"/>
    <x v="0"/>
    <n v="2"/>
    <n v="23"/>
    <n v="46"/>
    <x v="3"/>
    <x v="1"/>
  </r>
  <r>
    <n v="10290"/>
    <x v="178"/>
    <x v="2"/>
    <x v="3"/>
    <x v="1"/>
    <x v="1"/>
    <x v="5"/>
    <n v="5"/>
    <n v="33"/>
    <n v="165"/>
    <x v="0"/>
    <x v="3"/>
  </r>
  <r>
    <n v="10446"/>
    <x v="178"/>
    <x v="2"/>
    <x v="1"/>
    <x v="0"/>
    <x v="0"/>
    <x v="1"/>
    <n v="1"/>
    <n v="38"/>
    <n v="38"/>
    <x v="1"/>
    <x v="0"/>
  </r>
  <r>
    <n v="10314"/>
    <x v="179"/>
    <x v="0"/>
    <x v="0"/>
    <x v="0"/>
    <x v="0"/>
    <x v="1"/>
    <n v="1"/>
    <n v="23"/>
    <n v="23"/>
    <x v="1"/>
    <x v="3"/>
  </r>
  <r>
    <n v="10438"/>
    <x v="179"/>
    <x v="0"/>
    <x v="0"/>
    <x v="0"/>
    <x v="2"/>
    <x v="4"/>
    <n v="3"/>
    <n v="104"/>
    <n v="312"/>
    <x v="1"/>
    <x v="0"/>
  </r>
  <r>
    <n v="10455"/>
    <x v="179"/>
    <x v="3"/>
    <x v="1"/>
    <x v="0"/>
    <x v="0"/>
    <x v="1"/>
    <n v="4"/>
    <n v="90"/>
    <n v="360"/>
    <x v="2"/>
    <x v="3"/>
  </r>
  <r>
    <n v="10527"/>
    <x v="179"/>
    <x v="2"/>
    <x v="0"/>
    <x v="1"/>
    <x v="1"/>
    <x v="5"/>
    <n v="3"/>
    <n v="70"/>
    <n v="210"/>
    <x v="0"/>
    <x v="3"/>
  </r>
  <r>
    <n v="10832"/>
    <x v="179"/>
    <x v="1"/>
    <x v="4"/>
    <x v="1"/>
    <x v="2"/>
    <x v="6"/>
    <n v="5"/>
    <n v="69"/>
    <n v="345"/>
    <x v="2"/>
    <x v="3"/>
  </r>
  <r>
    <n v="11151"/>
    <x v="179"/>
    <x v="3"/>
    <x v="4"/>
    <x v="1"/>
    <x v="2"/>
    <x v="4"/>
    <n v="5"/>
    <n v="130"/>
    <n v="650"/>
    <x v="2"/>
    <x v="0"/>
  </r>
  <r>
    <n v="10202"/>
    <x v="180"/>
    <x v="0"/>
    <x v="4"/>
    <x v="0"/>
    <x v="2"/>
    <x v="6"/>
    <n v="1"/>
    <n v="69"/>
    <n v="69"/>
    <x v="1"/>
    <x v="3"/>
  </r>
  <r>
    <n v="10499"/>
    <x v="180"/>
    <x v="0"/>
    <x v="0"/>
    <x v="0"/>
    <x v="1"/>
    <x v="2"/>
    <n v="1"/>
    <n v="103"/>
    <n v="103"/>
    <x v="0"/>
    <x v="2"/>
  </r>
  <r>
    <n v="10862"/>
    <x v="180"/>
    <x v="2"/>
    <x v="1"/>
    <x v="0"/>
    <x v="0"/>
    <x v="0"/>
    <n v="2"/>
    <n v="146"/>
    <n v="292"/>
    <x v="1"/>
    <x v="1"/>
  </r>
  <r>
    <n v="11107"/>
    <x v="180"/>
    <x v="3"/>
    <x v="3"/>
    <x v="1"/>
    <x v="2"/>
    <x v="4"/>
    <n v="1"/>
    <n v="146"/>
    <n v="146"/>
    <x v="2"/>
    <x v="0"/>
  </r>
  <r>
    <n v="10037"/>
    <x v="181"/>
    <x v="2"/>
    <x v="1"/>
    <x v="1"/>
    <x v="1"/>
    <x v="7"/>
    <n v="1"/>
    <n v="98"/>
    <n v="98"/>
    <x v="0"/>
    <x v="0"/>
  </r>
  <r>
    <n v="10152"/>
    <x v="181"/>
    <x v="0"/>
    <x v="1"/>
    <x v="0"/>
    <x v="0"/>
    <x v="1"/>
    <n v="5"/>
    <n v="60"/>
    <n v="300"/>
    <x v="2"/>
    <x v="2"/>
  </r>
  <r>
    <n v="10557"/>
    <x v="182"/>
    <x v="0"/>
    <x v="0"/>
    <x v="0"/>
    <x v="2"/>
    <x v="3"/>
    <n v="4"/>
    <n v="128"/>
    <n v="512"/>
    <x v="4"/>
    <x v="0"/>
  </r>
  <r>
    <n v="10063"/>
    <x v="183"/>
    <x v="3"/>
    <x v="2"/>
    <x v="1"/>
    <x v="0"/>
    <x v="0"/>
    <n v="4"/>
    <n v="85"/>
    <n v="340"/>
    <x v="0"/>
    <x v="2"/>
  </r>
  <r>
    <n v="10175"/>
    <x v="183"/>
    <x v="1"/>
    <x v="3"/>
    <x v="0"/>
    <x v="0"/>
    <x v="8"/>
    <n v="3"/>
    <n v="51"/>
    <n v="153"/>
    <x v="2"/>
    <x v="2"/>
  </r>
  <r>
    <n v="10247"/>
    <x v="184"/>
    <x v="0"/>
    <x v="3"/>
    <x v="1"/>
    <x v="0"/>
    <x v="8"/>
    <n v="3"/>
    <n v="72"/>
    <n v="216"/>
    <x v="1"/>
    <x v="1"/>
  </r>
  <r>
    <n v="10461"/>
    <x v="184"/>
    <x v="3"/>
    <x v="4"/>
    <x v="1"/>
    <x v="1"/>
    <x v="7"/>
    <n v="1"/>
    <n v="87"/>
    <n v="87"/>
    <x v="1"/>
    <x v="2"/>
  </r>
  <r>
    <n v="10474"/>
    <x v="184"/>
    <x v="2"/>
    <x v="2"/>
    <x v="0"/>
    <x v="0"/>
    <x v="1"/>
    <n v="4"/>
    <n v="127"/>
    <n v="508"/>
    <x v="0"/>
    <x v="3"/>
  </r>
  <r>
    <n v="10957"/>
    <x v="184"/>
    <x v="0"/>
    <x v="1"/>
    <x v="1"/>
    <x v="1"/>
    <x v="2"/>
    <n v="4"/>
    <n v="106"/>
    <n v="424"/>
    <x v="4"/>
    <x v="3"/>
  </r>
  <r>
    <n v="10523"/>
    <x v="185"/>
    <x v="1"/>
    <x v="4"/>
    <x v="0"/>
    <x v="1"/>
    <x v="5"/>
    <n v="3"/>
    <n v="147"/>
    <n v="441"/>
    <x v="3"/>
    <x v="1"/>
  </r>
  <r>
    <n v="10529"/>
    <x v="185"/>
    <x v="2"/>
    <x v="0"/>
    <x v="1"/>
    <x v="0"/>
    <x v="1"/>
    <n v="4"/>
    <n v="59"/>
    <n v="236"/>
    <x v="2"/>
    <x v="0"/>
  </r>
  <r>
    <n v="10698"/>
    <x v="185"/>
    <x v="1"/>
    <x v="2"/>
    <x v="1"/>
    <x v="0"/>
    <x v="8"/>
    <n v="3"/>
    <n v="57"/>
    <n v="171"/>
    <x v="1"/>
    <x v="2"/>
  </r>
  <r>
    <n v="10837"/>
    <x v="185"/>
    <x v="0"/>
    <x v="1"/>
    <x v="0"/>
    <x v="2"/>
    <x v="3"/>
    <n v="2"/>
    <n v="50"/>
    <n v="100"/>
    <x v="4"/>
    <x v="3"/>
  </r>
  <r>
    <n v="10992"/>
    <x v="185"/>
    <x v="3"/>
    <x v="3"/>
    <x v="1"/>
    <x v="2"/>
    <x v="3"/>
    <n v="3"/>
    <n v="69"/>
    <n v="207"/>
    <x v="4"/>
    <x v="3"/>
  </r>
  <r>
    <n v="10675"/>
    <x v="186"/>
    <x v="3"/>
    <x v="3"/>
    <x v="1"/>
    <x v="0"/>
    <x v="8"/>
    <n v="2"/>
    <n v="119"/>
    <n v="238"/>
    <x v="4"/>
    <x v="2"/>
  </r>
  <r>
    <n v="10923"/>
    <x v="186"/>
    <x v="3"/>
    <x v="0"/>
    <x v="1"/>
    <x v="2"/>
    <x v="6"/>
    <n v="2"/>
    <n v="83"/>
    <n v="166"/>
    <x v="3"/>
    <x v="3"/>
  </r>
  <r>
    <n v="10932"/>
    <x v="186"/>
    <x v="1"/>
    <x v="1"/>
    <x v="1"/>
    <x v="0"/>
    <x v="0"/>
    <n v="1"/>
    <n v="55"/>
    <n v="55"/>
    <x v="0"/>
    <x v="3"/>
  </r>
  <r>
    <n v="10943"/>
    <x v="186"/>
    <x v="1"/>
    <x v="3"/>
    <x v="0"/>
    <x v="2"/>
    <x v="4"/>
    <n v="1"/>
    <n v="148"/>
    <n v="148"/>
    <x v="2"/>
    <x v="2"/>
  </r>
  <r>
    <n v="10384"/>
    <x v="187"/>
    <x v="0"/>
    <x v="3"/>
    <x v="0"/>
    <x v="0"/>
    <x v="8"/>
    <n v="3"/>
    <n v="128"/>
    <n v="384"/>
    <x v="0"/>
    <x v="3"/>
  </r>
  <r>
    <n v="10434"/>
    <x v="188"/>
    <x v="2"/>
    <x v="3"/>
    <x v="0"/>
    <x v="2"/>
    <x v="3"/>
    <n v="5"/>
    <n v="50"/>
    <n v="250"/>
    <x v="1"/>
    <x v="2"/>
  </r>
  <r>
    <n v="11042"/>
    <x v="188"/>
    <x v="1"/>
    <x v="4"/>
    <x v="1"/>
    <x v="0"/>
    <x v="0"/>
    <n v="5"/>
    <n v="45"/>
    <n v="225"/>
    <x v="3"/>
    <x v="0"/>
  </r>
  <r>
    <n v="11182"/>
    <x v="188"/>
    <x v="3"/>
    <x v="2"/>
    <x v="1"/>
    <x v="2"/>
    <x v="6"/>
    <n v="1"/>
    <n v="135"/>
    <n v="135"/>
    <x v="0"/>
    <x v="2"/>
  </r>
  <r>
    <n v="10640"/>
    <x v="189"/>
    <x v="1"/>
    <x v="3"/>
    <x v="0"/>
    <x v="1"/>
    <x v="2"/>
    <n v="5"/>
    <n v="79"/>
    <n v="395"/>
    <x v="0"/>
    <x v="3"/>
  </r>
  <r>
    <n v="11020"/>
    <x v="189"/>
    <x v="1"/>
    <x v="2"/>
    <x v="0"/>
    <x v="0"/>
    <x v="0"/>
    <n v="1"/>
    <n v="33"/>
    <n v="33"/>
    <x v="0"/>
    <x v="1"/>
  </r>
  <r>
    <n v="10107"/>
    <x v="190"/>
    <x v="0"/>
    <x v="2"/>
    <x v="0"/>
    <x v="1"/>
    <x v="5"/>
    <n v="1"/>
    <n v="80"/>
    <n v="80"/>
    <x v="4"/>
    <x v="0"/>
  </r>
  <r>
    <n v="10491"/>
    <x v="190"/>
    <x v="3"/>
    <x v="0"/>
    <x v="0"/>
    <x v="1"/>
    <x v="7"/>
    <n v="3"/>
    <n v="37"/>
    <n v="111"/>
    <x v="2"/>
    <x v="2"/>
  </r>
  <r>
    <n v="10568"/>
    <x v="190"/>
    <x v="3"/>
    <x v="3"/>
    <x v="1"/>
    <x v="1"/>
    <x v="5"/>
    <n v="2"/>
    <n v="42"/>
    <n v="84"/>
    <x v="1"/>
    <x v="1"/>
  </r>
  <r>
    <n v="10648"/>
    <x v="190"/>
    <x v="1"/>
    <x v="1"/>
    <x v="1"/>
    <x v="2"/>
    <x v="4"/>
    <n v="3"/>
    <n v="35"/>
    <n v="105"/>
    <x v="4"/>
    <x v="2"/>
  </r>
  <r>
    <n v="10846"/>
    <x v="190"/>
    <x v="0"/>
    <x v="4"/>
    <x v="1"/>
    <x v="2"/>
    <x v="6"/>
    <n v="1"/>
    <n v="101"/>
    <n v="101"/>
    <x v="3"/>
    <x v="1"/>
  </r>
  <r>
    <n v="10905"/>
    <x v="190"/>
    <x v="3"/>
    <x v="3"/>
    <x v="1"/>
    <x v="1"/>
    <x v="2"/>
    <n v="5"/>
    <n v="120"/>
    <n v="600"/>
    <x v="1"/>
    <x v="3"/>
  </r>
  <r>
    <n v="11094"/>
    <x v="190"/>
    <x v="0"/>
    <x v="3"/>
    <x v="0"/>
    <x v="0"/>
    <x v="1"/>
    <n v="2"/>
    <n v="131"/>
    <n v="262"/>
    <x v="1"/>
    <x v="0"/>
  </r>
  <r>
    <n v="10483"/>
    <x v="191"/>
    <x v="1"/>
    <x v="2"/>
    <x v="0"/>
    <x v="1"/>
    <x v="7"/>
    <n v="5"/>
    <n v="29"/>
    <n v="145"/>
    <x v="1"/>
    <x v="0"/>
  </r>
  <r>
    <n v="10914"/>
    <x v="191"/>
    <x v="3"/>
    <x v="2"/>
    <x v="1"/>
    <x v="2"/>
    <x v="3"/>
    <n v="4"/>
    <n v="137"/>
    <n v="548"/>
    <x v="2"/>
    <x v="0"/>
  </r>
  <r>
    <n v="10012"/>
    <x v="192"/>
    <x v="1"/>
    <x v="2"/>
    <x v="0"/>
    <x v="0"/>
    <x v="8"/>
    <n v="5"/>
    <n v="36"/>
    <n v="180"/>
    <x v="1"/>
    <x v="2"/>
  </r>
  <r>
    <n v="10043"/>
    <x v="192"/>
    <x v="3"/>
    <x v="1"/>
    <x v="1"/>
    <x v="1"/>
    <x v="2"/>
    <n v="5"/>
    <n v="49"/>
    <n v="245"/>
    <x v="2"/>
    <x v="0"/>
  </r>
  <r>
    <n v="10098"/>
    <x v="192"/>
    <x v="3"/>
    <x v="3"/>
    <x v="1"/>
    <x v="2"/>
    <x v="6"/>
    <n v="4"/>
    <n v="117"/>
    <n v="468"/>
    <x v="0"/>
    <x v="2"/>
  </r>
  <r>
    <n v="10266"/>
    <x v="192"/>
    <x v="2"/>
    <x v="1"/>
    <x v="0"/>
    <x v="0"/>
    <x v="0"/>
    <n v="5"/>
    <n v="103"/>
    <n v="515"/>
    <x v="2"/>
    <x v="0"/>
  </r>
  <r>
    <n v="10684"/>
    <x v="192"/>
    <x v="0"/>
    <x v="2"/>
    <x v="1"/>
    <x v="0"/>
    <x v="8"/>
    <n v="1"/>
    <n v="38"/>
    <n v="38"/>
    <x v="4"/>
    <x v="3"/>
  </r>
  <r>
    <n v="11133"/>
    <x v="192"/>
    <x v="3"/>
    <x v="3"/>
    <x v="1"/>
    <x v="2"/>
    <x v="4"/>
    <n v="2"/>
    <n v="139"/>
    <n v="278"/>
    <x v="4"/>
    <x v="1"/>
  </r>
  <r>
    <n v="11173"/>
    <x v="192"/>
    <x v="2"/>
    <x v="3"/>
    <x v="0"/>
    <x v="1"/>
    <x v="2"/>
    <n v="3"/>
    <n v="120"/>
    <n v="360"/>
    <x v="2"/>
    <x v="1"/>
  </r>
  <r>
    <n v="10242"/>
    <x v="193"/>
    <x v="3"/>
    <x v="1"/>
    <x v="1"/>
    <x v="1"/>
    <x v="2"/>
    <n v="5"/>
    <n v="54"/>
    <n v="270"/>
    <x v="4"/>
    <x v="0"/>
  </r>
  <r>
    <n v="10368"/>
    <x v="193"/>
    <x v="1"/>
    <x v="2"/>
    <x v="0"/>
    <x v="0"/>
    <x v="0"/>
    <n v="5"/>
    <n v="35"/>
    <n v="175"/>
    <x v="1"/>
    <x v="1"/>
  </r>
  <r>
    <n v="10371"/>
    <x v="193"/>
    <x v="1"/>
    <x v="2"/>
    <x v="0"/>
    <x v="1"/>
    <x v="2"/>
    <n v="1"/>
    <n v="42"/>
    <n v="42"/>
    <x v="4"/>
    <x v="3"/>
  </r>
  <r>
    <n v="10563"/>
    <x v="193"/>
    <x v="0"/>
    <x v="1"/>
    <x v="1"/>
    <x v="2"/>
    <x v="6"/>
    <n v="1"/>
    <n v="37"/>
    <n v="37"/>
    <x v="3"/>
    <x v="2"/>
  </r>
  <r>
    <n v="10567"/>
    <x v="193"/>
    <x v="2"/>
    <x v="2"/>
    <x v="0"/>
    <x v="0"/>
    <x v="8"/>
    <n v="1"/>
    <n v="85"/>
    <n v="85"/>
    <x v="0"/>
    <x v="1"/>
  </r>
  <r>
    <n v="10860"/>
    <x v="193"/>
    <x v="3"/>
    <x v="4"/>
    <x v="1"/>
    <x v="1"/>
    <x v="5"/>
    <n v="5"/>
    <n v="111"/>
    <n v="555"/>
    <x v="2"/>
    <x v="2"/>
  </r>
  <r>
    <n v="10056"/>
    <x v="194"/>
    <x v="2"/>
    <x v="2"/>
    <x v="0"/>
    <x v="1"/>
    <x v="7"/>
    <n v="2"/>
    <n v="127"/>
    <n v="254"/>
    <x v="2"/>
    <x v="0"/>
  </r>
  <r>
    <n v="10526"/>
    <x v="194"/>
    <x v="0"/>
    <x v="1"/>
    <x v="1"/>
    <x v="0"/>
    <x v="1"/>
    <n v="2"/>
    <n v="141"/>
    <n v="282"/>
    <x v="3"/>
    <x v="0"/>
  </r>
  <r>
    <n v="10922"/>
    <x v="194"/>
    <x v="0"/>
    <x v="3"/>
    <x v="1"/>
    <x v="1"/>
    <x v="2"/>
    <n v="1"/>
    <n v="46"/>
    <n v="46"/>
    <x v="1"/>
    <x v="0"/>
  </r>
  <r>
    <n v="10927"/>
    <x v="194"/>
    <x v="3"/>
    <x v="3"/>
    <x v="1"/>
    <x v="2"/>
    <x v="6"/>
    <n v="3"/>
    <n v="23"/>
    <n v="69"/>
    <x v="3"/>
    <x v="2"/>
  </r>
  <r>
    <n v="11188"/>
    <x v="194"/>
    <x v="0"/>
    <x v="4"/>
    <x v="1"/>
    <x v="2"/>
    <x v="4"/>
    <n v="3"/>
    <n v="84"/>
    <n v="252"/>
    <x v="4"/>
    <x v="0"/>
  </r>
  <r>
    <n v="10611"/>
    <x v="195"/>
    <x v="3"/>
    <x v="2"/>
    <x v="0"/>
    <x v="1"/>
    <x v="7"/>
    <n v="1"/>
    <n v="129"/>
    <n v="129"/>
    <x v="1"/>
    <x v="2"/>
  </r>
  <r>
    <n v="11064"/>
    <x v="195"/>
    <x v="3"/>
    <x v="2"/>
    <x v="1"/>
    <x v="1"/>
    <x v="2"/>
    <n v="1"/>
    <n v="76"/>
    <n v="76"/>
    <x v="2"/>
    <x v="3"/>
  </r>
  <r>
    <n v="10581"/>
    <x v="196"/>
    <x v="1"/>
    <x v="1"/>
    <x v="0"/>
    <x v="2"/>
    <x v="3"/>
    <n v="5"/>
    <n v="54"/>
    <n v="270"/>
    <x v="3"/>
    <x v="1"/>
  </r>
  <r>
    <n v="10771"/>
    <x v="196"/>
    <x v="1"/>
    <x v="2"/>
    <x v="1"/>
    <x v="2"/>
    <x v="6"/>
    <n v="3"/>
    <n v="66"/>
    <n v="198"/>
    <x v="3"/>
    <x v="0"/>
  </r>
  <r>
    <n v="10859"/>
    <x v="196"/>
    <x v="2"/>
    <x v="4"/>
    <x v="1"/>
    <x v="0"/>
    <x v="0"/>
    <n v="4"/>
    <n v="145"/>
    <n v="580"/>
    <x v="2"/>
    <x v="0"/>
  </r>
  <r>
    <n v="10144"/>
    <x v="197"/>
    <x v="0"/>
    <x v="1"/>
    <x v="1"/>
    <x v="1"/>
    <x v="2"/>
    <n v="4"/>
    <n v="40"/>
    <n v="160"/>
    <x v="4"/>
    <x v="1"/>
  </r>
  <r>
    <n v="10164"/>
    <x v="197"/>
    <x v="0"/>
    <x v="0"/>
    <x v="0"/>
    <x v="1"/>
    <x v="7"/>
    <n v="4"/>
    <n v="33"/>
    <n v="132"/>
    <x v="3"/>
    <x v="2"/>
  </r>
  <r>
    <n v="10305"/>
    <x v="197"/>
    <x v="0"/>
    <x v="0"/>
    <x v="0"/>
    <x v="1"/>
    <x v="2"/>
    <n v="2"/>
    <n v="33"/>
    <n v="66"/>
    <x v="3"/>
    <x v="0"/>
  </r>
  <r>
    <n v="10518"/>
    <x v="197"/>
    <x v="3"/>
    <x v="0"/>
    <x v="0"/>
    <x v="2"/>
    <x v="6"/>
    <n v="5"/>
    <n v="131"/>
    <n v="655"/>
    <x v="2"/>
    <x v="1"/>
  </r>
  <r>
    <n v="10141"/>
    <x v="198"/>
    <x v="2"/>
    <x v="3"/>
    <x v="1"/>
    <x v="0"/>
    <x v="1"/>
    <n v="3"/>
    <n v="38"/>
    <n v="114"/>
    <x v="2"/>
    <x v="0"/>
  </r>
  <r>
    <n v="10182"/>
    <x v="198"/>
    <x v="0"/>
    <x v="1"/>
    <x v="1"/>
    <x v="0"/>
    <x v="0"/>
    <n v="5"/>
    <n v="113"/>
    <n v="565"/>
    <x v="3"/>
    <x v="0"/>
  </r>
  <r>
    <n v="10365"/>
    <x v="198"/>
    <x v="1"/>
    <x v="3"/>
    <x v="0"/>
    <x v="2"/>
    <x v="6"/>
    <n v="1"/>
    <n v="98"/>
    <n v="98"/>
    <x v="3"/>
    <x v="3"/>
  </r>
  <r>
    <n v="10758"/>
    <x v="198"/>
    <x v="3"/>
    <x v="0"/>
    <x v="1"/>
    <x v="2"/>
    <x v="6"/>
    <n v="3"/>
    <n v="43"/>
    <n v="129"/>
    <x v="1"/>
    <x v="0"/>
  </r>
  <r>
    <n v="11030"/>
    <x v="198"/>
    <x v="1"/>
    <x v="2"/>
    <x v="1"/>
    <x v="2"/>
    <x v="3"/>
    <n v="1"/>
    <n v="68"/>
    <n v="68"/>
    <x v="0"/>
    <x v="3"/>
  </r>
  <r>
    <n v="11117"/>
    <x v="198"/>
    <x v="2"/>
    <x v="4"/>
    <x v="1"/>
    <x v="1"/>
    <x v="2"/>
    <n v="5"/>
    <n v="110"/>
    <n v="550"/>
    <x v="4"/>
    <x v="3"/>
  </r>
  <r>
    <n v="11138"/>
    <x v="198"/>
    <x v="1"/>
    <x v="2"/>
    <x v="0"/>
    <x v="1"/>
    <x v="5"/>
    <n v="2"/>
    <n v="58"/>
    <n v="116"/>
    <x v="3"/>
    <x v="3"/>
  </r>
  <r>
    <n v="10050"/>
    <x v="199"/>
    <x v="3"/>
    <x v="0"/>
    <x v="1"/>
    <x v="0"/>
    <x v="1"/>
    <n v="4"/>
    <n v="146"/>
    <n v="584"/>
    <x v="3"/>
    <x v="3"/>
  </r>
  <r>
    <n v="10128"/>
    <x v="199"/>
    <x v="1"/>
    <x v="4"/>
    <x v="0"/>
    <x v="2"/>
    <x v="6"/>
    <n v="3"/>
    <n v="136"/>
    <n v="408"/>
    <x v="2"/>
    <x v="2"/>
  </r>
  <r>
    <n v="10883"/>
    <x v="199"/>
    <x v="3"/>
    <x v="4"/>
    <x v="0"/>
    <x v="0"/>
    <x v="8"/>
    <n v="4"/>
    <n v="72"/>
    <n v="288"/>
    <x v="3"/>
    <x v="0"/>
  </r>
  <r>
    <n v="10961"/>
    <x v="199"/>
    <x v="2"/>
    <x v="1"/>
    <x v="0"/>
    <x v="0"/>
    <x v="8"/>
    <n v="2"/>
    <n v="144"/>
    <n v="288"/>
    <x v="2"/>
    <x v="0"/>
  </r>
  <r>
    <n v="11135"/>
    <x v="199"/>
    <x v="3"/>
    <x v="4"/>
    <x v="0"/>
    <x v="1"/>
    <x v="5"/>
    <n v="4"/>
    <n v="71"/>
    <n v="284"/>
    <x v="2"/>
    <x v="1"/>
  </r>
  <r>
    <n v="10078"/>
    <x v="200"/>
    <x v="1"/>
    <x v="4"/>
    <x v="1"/>
    <x v="1"/>
    <x v="5"/>
    <n v="1"/>
    <n v="36"/>
    <n v="36"/>
    <x v="0"/>
    <x v="1"/>
  </r>
  <r>
    <n v="10204"/>
    <x v="200"/>
    <x v="2"/>
    <x v="4"/>
    <x v="1"/>
    <x v="2"/>
    <x v="4"/>
    <n v="5"/>
    <n v="150"/>
    <n v="750"/>
    <x v="0"/>
    <x v="2"/>
  </r>
  <r>
    <n v="10845"/>
    <x v="200"/>
    <x v="2"/>
    <x v="3"/>
    <x v="1"/>
    <x v="2"/>
    <x v="3"/>
    <n v="5"/>
    <n v="102"/>
    <n v="510"/>
    <x v="4"/>
    <x v="3"/>
  </r>
  <r>
    <n v="11031"/>
    <x v="200"/>
    <x v="0"/>
    <x v="0"/>
    <x v="1"/>
    <x v="0"/>
    <x v="8"/>
    <n v="5"/>
    <n v="119"/>
    <n v="595"/>
    <x v="3"/>
    <x v="1"/>
  </r>
  <r>
    <n v="10045"/>
    <x v="201"/>
    <x v="0"/>
    <x v="2"/>
    <x v="1"/>
    <x v="0"/>
    <x v="8"/>
    <n v="4"/>
    <n v="103"/>
    <n v="412"/>
    <x v="0"/>
    <x v="3"/>
  </r>
  <r>
    <n v="10090"/>
    <x v="201"/>
    <x v="2"/>
    <x v="2"/>
    <x v="0"/>
    <x v="1"/>
    <x v="5"/>
    <n v="3"/>
    <n v="49"/>
    <n v="147"/>
    <x v="2"/>
    <x v="0"/>
  </r>
  <r>
    <n v="10416"/>
    <x v="201"/>
    <x v="3"/>
    <x v="4"/>
    <x v="0"/>
    <x v="2"/>
    <x v="3"/>
    <n v="2"/>
    <n v="116"/>
    <n v="232"/>
    <x v="2"/>
    <x v="3"/>
  </r>
  <r>
    <n v="10488"/>
    <x v="201"/>
    <x v="2"/>
    <x v="1"/>
    <x v="1"/>
    <x v="2"/>
    <x v="3"/>
    <n v="2"/>
    <n v="136"/>
    <n v="272"/>
    <x v="2"/>
    <x v="0"/>
  </r>
  <r>
    <n v="10900"/>
    <x v="201"/>
    <x v="1"/>
    <x v="2"/>
    <x v="1"/>
    <x v="2"/>
    <x v="6"/>
    <n v="3"/>
    <n v="108"/>
    <n v="324"/>
    <x v="2"/>
    <x v="1"/>
  </r>
  <r>
    <n v="10046"/>
    <x v="202"/>
    <x v="2"/>
    <x v="1"/>
    <x v="0"/>
    <x v="0"/>
    <x v="8"/>
    <n v="2"/>
    <n v="97"/>
    <n v="194"/>
    <x v="0"/>
    <x v="3"/>
  </r>
  <r>
    <n v="11170"/>
    <x v="202"/>
    <x v="1"/>
    <x v="0"/>
    <x v="1"/>
    <x v="1"/>
    <x v="7"/>
    <n v="1"/>
    <n v="96"/>
    <n v="96"/>
    <x v="1"/>
    <x v="2"/>
  </r>
  <r>
    <n v="10188"/>
    <x v="203"/>
    <x v="2"/>
    <x v="0"/>
    <x v="0"/>
    <x v="1"/>
    <x v="2"/>
    <n v="4"/>
    <n v="125"/>
    <n v="500"/>
    <x v="3"/>
    <x v="3"/>
  </r>
  <r>
    <n v="10232"/>
    <x v="203"/>
    <x v="3"/>
    <x v="0"/>
    <x v="0"/>
    <x v="2"/>
    <x v="6"/>
    <n v="1"/>
    <n v="93"/>
    <n v="93"/>
    <x v="4"/>
    <x v="3"/>
  </r>
  <r>
    <n v="10896"/>
    <x v="203"/>
    <x v="0"/>
    <x v="3"/>
    <x v="0"/>
    <x v="1"/>
    <x v="5"/>
    <n v="4"/>
    <n v="130"/>
    <n v="520"/>
    <x v="4"/>
    <x v="3"/>
  </r>
  <r>
    <n v="10944"/>
    <x v="203"/>
    <x v="2"/>
    <x v="4"/>
    <x v="0"/>
    <x v="1"/>
    <x v="5"/>
    <n v="3"/>
    <n v="38"/>
    <n v="114"/>
    <x v="1"/>
    <x v="1"/>
  </r>
  <r>
    <n v="11077"/>
    <x v="203"/>
    <x v="3"/>
    <x v="3"/>
    <x v="0"/>
    <x v="2"/>
    <x v="6"/>
    <n v="3"/>
    <n v="122"/>
    <n v="366"/>
    <x v="1"/>
    <x v="2"/>
  </r>
  <r>
    <n v="10022"/>
    <x v="204"/>
    <x v="1"/>
    <x v="4"/>
    <x v="1"/>
    <x v="0"/>
    <x v="8"/>
    <n v="3"/>
    <n v="128"/>
    <n v="384"/>
    <x v="3"/>
    <x v="3"/>
  </r>
  <r>
    <n v="10629"/>
    <x v="204"/>
    <x v="0"/>
    <x v="4"/>
    <x v="1"/>
    <x v="0"/>
    <x v="0"/>
    <n v="5"/>
    <n v="88"/>
    <n v="440"/>
    <x v="1"/>
    <x v="3"/>
  </r>
  <r>
    <n v="10644"/>
    <x v="204"/>
    <x v="2"/>
    <x v="2"/>
    <x v="1"/>
    <x v="0"/>
    <x v="0"/>
    <n v="1"/>
    <n v="23"/>
    <n v="23"/>
    <x v="2"/>
    <x v="2"/>
  </r>
  <r>
    <n v="10678"/>
    <x v="204"/>
    <x v="1"/>
    <x v="0"/>
    <x v="0"/>
    <x v="0"/>
    <x v="1"/>
    <n v="2"/>
    <n v="42"/>
    <n v="84"/>
    <x v="2"/>
    <x v="2"/>
  </r>
  <r>
    <n v="10743"/>
    <x v="204"/>
    <x v="0"/>
    <x v="4"/>
    <x v="1"/>
    <x v="2"/>
    <x v="6"/>
    <n v="3"/>
    <n v="111"/>
    <n v="333"/>
    <x v="0"/>
    <x v="1"/>
  </r>
  <r>
    <n v="10216"/>
    <x v="205"/>
    <x v="0"/>
    <x v="3"/>
    <x v="1"/>
    <x v="0"/>
    <x v="0"/>
    <n v="1"/>
    <n v="45"/>
    <n v="45"/>
    <x v="0"/>
    <x v="0"/>
  </r>
  <r>
    <n v="10251"/>
    <x v="205"/>
    <x v="3"/>
    <x v="0"/>
    <x v="1"/>
    <x v="2"/>
    <x v="3"/>
    <n v="1"/>
    <n v="21"/>
    <n v="21"/>
    <x v="0"/>
    <x v="0"/>
  </r>
  <r>
    <n v="10509"/>
    <x v="205"/>
    <x v="3"/>
    <x v="0"/>
    <x v="1"/>
    <x v="1"/>
    <x v="5"/>
    <n v="3"/>
    <n v="135"/>
    <n v="405"/>
    <x v="0"/>
    <x v="1"/>
  </r>
  <r>
    <n v="11197"/>
    <x v="205"/>
    <x v="2"/>
    <x v="4"/>
    <x v="1"/>
    <x v="2"/>
    <x v="3"/>
    <n v="1"/>
    <n v="78"/>
    <n v="78"/>
    <x v="3"/>
    <x v="0"/>
  </r>
  <r>
    <n v="10466"/>
    <x v="206"/>
    <x v="0"/>
    <x v="4"/>
    <x v="0"/>
    <x v="1"/>
    <x v="2"/>
    <n v="1"/>
    <n v="78"/>
    <n v="78"/>
    <x v="2"/>
    <x v="3"/>
  </r>
  <r>
    <n v="10708"/>
    <x v="206"/>
    <x v="3"/>
    <x v="2"/>
    <x v="0"/>
    <x v="2"/>
    <x v="4"/>
    <n v="4"/>
    <n v="89"/>
    <n v="356"/>
    <x v="1"/>
    <x v="1"/>
  </r>
  <r>
    <n v="10029"/>
    <x v="207"/>
    <x v="0"/>
    <x v="1"/>
    <x v="1"/>
    <x v="0"/>
    <x v="1"/>
    <n v="1"/>
    <n v="40"/>
    <n v="40"/>
    <x v="4"/>
    <x v="1"/>
  </r>
  <r>
    <n v="10135"/>
    <x v="207"/>
    <x v="1"/>
    <x v="1"/>
    <x v="1"/>
    <x v="0"/>
    <x v="1"/>
    <n v="2"/>
    <n v="116"/>
    <n v="232"/>
    <x v="4"/>
    <x v="2"/>
  </r>
  <r>
    <n v="10209"/>
    <x v="207"/>
    <x v="3"/>
    <x v="3"/>
    <x v="1"/>
    <x v="2"/>
    <x v="4"/>
    <n v="4"/>
    <n v="100"/>
    <n v="400"/>
    <x v="2"/>
    <x v="3"/>
  </r>
  <r>
    <n v="10825"/>
    <x v="207"/>
    <x v="1"/>
    <x v="2"/>
    <x v="0"/>
    <x v="0"/>
    <x v="0"/>
    <n v="5"/>
    <n v="95"/>
    <n v="475"/>
    <x v="4"/>
    <x v="2"/>
  </r>
  <r>
    <n v="10881"/>
    <x v="207"/>
    <x v="0"/>
    <x v="0"/>
    <x v="1"/>
    <x v="0"/>
    <x v="1"/>
    <n v="3"/>
    <n v="96"/>
    <n v="288"/>
    <x v="2"/>
    <x v="0"/>
  </r>
  <r>
    <n v="11054"/>
    <x v="207"/>
    <x v="1"/>
    <x v="2"/>
    <x v="0"/>
    <x v="2"/>
    <x v="3"/>
    <n v="2"/>
    <n v="118"/>
    <n v="236"/>
    <x v="1"/>
    <x v="1"/>
  </r>
  <r>
    <n v="10066"/>
    <x v="208"/>
    <x v="1"/>
    <x v="4"/>
    <x v="0"/>
    <x v="0"/>
    <x v="1"/>
    <n v="3"/>
    <n v="23"/>
    <n v="69"/>
    <x v="4"/>
    <x v="3"/>
  </r>
  <r>
    <n v="10867"/>
    <x v="208"/>
    <x v="1"/>
    <x v="1"/>
    <x v="1"/>
    <x v="0"/>
    <x v="0"/>
    <n v="1"/>
    <n v="91"/>
    <n v="91"/>
    <x v="2"/>
    <x v="1"/>
  </r>
  <r>
    <n v="11163"/>
    <x v="208"/>
    <x v="1"/>
    <x v="3"/>
    <x v="1"/>
    <x v="1"/>
    <x v="5"/>
    <n v="4"/>
    <n v="139"/>
    <n v="556"/>
    <x v="1"/>
    <x v="0"/>
  </r>
  <r>
    <n v="10370"/>
    <x v="209"/>
    <x v="2"/>
    <x v="3"/>
    <x v="1"/>
    <x v="2"/>
    <x v="4"/>
    <n v="2"/>
    <n v="30"/>
    <n v="60"/>
    <x v="0"/>
    <x v="2"/>
  </r>
  <r>
    <n v="10760"/>
    <x v="209"/>
    <x v="3"/>
    <x v="0"/>
    <x v="1"/>
    <x v="0"/>
    <x v="1"/>
    <n v="4"/>
    <n v="80"/>
    <n v="320"/>
    <x v="0"/>
    <x v="1"/>
  </r>
  <r>
    <n v="10969"/>
    <x v="209"/>
    <x v="0"/>
    <x v="1"/>
    <x v="1"/>
    <x v="0"/>
    <x v="1"/>
    <n v="2"/>
    <n v="119"/>
    <n v="238"/>
    <x v="1"/>
    <x v="1"/>
  </r>
  <r>
    <n v="11062"/>
    <x v="209"/>
    <x v="1"/>
    <x v="2"/>
    <x v="0"/>
    <x v="0"/>
    <x v="0"/>
    <n v="1"/>
    <n v="121"/>
    <n v="121"/>
    <x v="1"/>
    <x v="2"/>
  </r>
  <r>
    <n v="10294"/>
    <x v="210"/>
    <x v="2"/>
    <x v="0"/>
    <x v="0"/>
    <x v="0"/>
    <x v="0"/>
    <n v="4"/>
    <n v="75"/>
    <n v="300"/>
    <x v="3"/>
    <x v="3"/>
  </r>
  <r>
    <n v="10475"/>
    <x v="210"/>
    <x v="3"/>
    <x v="1"/>
    <x v="0"/>
    <x v="1"/>
    <x v="5"/>
    <n v="5"/>
    <n v="45"/>
    <n v="225"/>
    <x v="0"/>
    <x v="0"/>
  </r>
  <r>
    <n v="10721"/>
    <x v="210"/>
    <x v="2"/>
    <x v="4"/>
    <x v="1"/>
    <x v="2"/>
    <x v="4"/>
    <n v="2"/>
    <n v="40"/>
    <n v="80"/>
    <x v="2"/>
    <x v="3"/>
  </r>
  <r>
    <n v="10593"/>
    <x v="211"/>
    <x v="0"/>
    <x v="1"/>
    <x v="0"/>
    <x v="1"/>
    <x v="2"/>
    <n v="5"/>
    <n v="93"/>
    <n v="465"/>
    <x v="0"/>
    <x v="3"/>
  </r>
  <r>
    <n v="10311"/>
    <x v="212"/>
    <x v="0"/>
    <x v="0"/>
    <x v="1"/>
    <x v="2"/>
    <x v="3"/>
    <n v="4"/>
    <n v="109"/>
    <n v="436"/>
    <x v="4"/>
    <x v="0"/>
  </r>
  <r>
    <n v="10454"/>
    <x v="212"/>
    <x v="3"/>
    <x v="4"/>
    <x v="0"/>
    <x v="0"/>
    <x v="1"/>
    <n v="3"/>
    <n v="100"/>
    <n v="300"/>
    <x v="0"/>
    <x v="1"/>
  </r>
  <r>
    <n v="10044"/>
    <x v="213"/>
    <x v="2"/>
    <x v="1"/>
    <x v="0"/>
    <x v="0"/>
    <x v="1"/>
    <n v="2"/>
    <n v="113"/>
    <n v="226"/>
    <x v="3"/>
    <x v="2"/>
  </r>
  <r>
    <n v="10140"/>
    <x v="213"/>
    <x v="3"/>
    <x v="0"/>
    <x v="0"/>
    <x v="1"/>
    <x v="7"/>
    <n v="1"/>
    <n v="147"/>
    <n v="147"/>
    <x v="1"/>
    <x v="1"/>
  </r>
  <r>
    <n v="10201"/>
    <x v="213"/>
    <x v="3"/>
    <x v="1"/>
    <x v="0"/>
    <x v="1"/>
    <x v="2"/>
    <n v="1"/>
    <n v="47"/>
    <n v="47"/>
    <x v="2"/>
    <x v="2"/>
  </r>
  <r>
    <n v="10277"/>
    <x v="213"/>
    <x v="2"/>
    <x v="4"/>
    <x v="1"/>
    <x v="0"/>
    <x v="1"/>
    <n v="4"/>
    <n v="104"/>
    <n v="416"/>
    <x v="4"/>
    <x v="1"/>
  </r>
  <r>
    <n v="10570"/>
    <x v="213"/>
    <x v="3"/>
    <x v="2"/>
    <x v="1"/>
    <x v="2"/>
    <x v="6"/>
    <n v="5"/>
    <n v="54"/>
    <n v="270"/>
    <x v="4"/>
    <x v="0"/>
  </r>
  <r>
    <n v="10262"/>
    <x v="214"/>
    <x v="3"/>
    <x v="2"/>
    <x v="0"/>
    <x v="1"/>
    <x v="7"/>
    <n v="3"/>
    <n v="116"/>
    <n v="348"/>
    <x v="3"/>
    <x v="2"/>
  </r>
  <r>
    <n v="11171"/>
    <x v="214"/>
    <x v="3"/>
    <x v="4"/>
    <x v="1"/>
    <x v="0"/>
    <x v="1"/>
    <n v="4"/>
    <n v="51"/>
    <n v="204"/>
    <x v="0"/>
    <x v="1"/>
  </r>
  <r>
    <n v="10622"/>
    <x v="215"/>
    <x v="0"/>
    <x v="4"/>
    <x v="1"/>
    <x v="0"/>
    <x v="8"/>
    <n v="3"/>
    <n v="97"/>
    <n v="291"/>
    <x v="1"/>
    <x v="3"/>
  </r>
  <r>
    <n v="10783"/>
    <x v="216"/>
    <x v="3"/>
    <x v="1"/>
    <x v="0"/>
    <x v="0"/>
    <x v="8"/>
    <n v="5"/>
    <n v="100"/>
    <n v="500"/>
    <x v="0"/>
    <x v="3"/>
  </r>
  <r>
    <n v="10159"/>
    <x v="217"/>
    <x v="2"/>
    <x v="3"/>
    <x v="0"/>
    <x v="2"/>
    <x v="4"/>
    <n v="2"/>
    <n v="62"/>
    <n v="124"/>
    <x v="0"/>
    <x v="3"/>
  </r>
  <r>
    <n v="10237"/>
    <x v="217"/>
    <x v="3"/>
    <x v="2"/>
    <x v="1"/>
    <x v="2"/>
    <x v="3"/>
    <n v="1"/>
    <n v="122"/>
    <n v="122"/>
    <x v="3"/>
    <x v="1"/>
  </r>
  <r>
    <n v="10531"/>
    <x v="217"/>
    <x v="3"/>
    <x v="4"/>
    <x v="0"/>
    <x v="2"/>
    <x v="6"/>
    <n v="5"/>
    <n v="108"/>
    <n v="540"/>
    <x v="4"/>
    <x v="1"/>
  </r>
  <r>
    <n v="10919"/>
    <x v="217"/>
    <x v="3"/>
    <x v="3"/>
    <x v="0"/>
    <x v="2"/>
    <x v="4"/>
    <n v="5"/>
    <n v="82"/>
    <n v="410"/>
    <x v="0"/>
    <x v="1"/>
  </r>
  <r>
    <n v="11011"/>
    <x v="217"/>
    <x v="1"/>
    <x v="0"/>
    <x v="1"/>
    <x v="2"/>
    <x v="3"/>
    <n v="3"/>
    <n v="47"/>
    <n v="141"/>
    <x v="4"/>
    <x v="3"/>
  </r>
  <r>
    <n v="10195"/>
    <x v="218"/>
    <x v="1"/>
    <x v="3"/>
    <x v="0"/>
    <x v="1"/>
    <x v="7"/>
    <n v="1"/>
    <n v="60"/>
    <n v="60"/>
    <x v="0"/>
    <x v="2"/>
  </r>
  <r>
    <n v="10697"/>
    <x v="218"/>
    <x v="0"/>
    <x v="1"/>
    <x v="1"/>
    <x v="2"/>
    <x v="6"/>
    <n v="5"/>
    <n v="52"/>
    <n v="260"/>
    <x v="0"/>
    <x v="0"/>
  </r>
  <r>
    <n v="10921"/>
    <x v="218"/>
    <x v="0"/>
    <x v="0"/>
    <x v="1"/>
    <x v="0"/>
    <x v="0"/>
    <n v="3"/>
    <n v="59"/>
    <n v="177"/>
    <x v="3"/>
    <x v="1"/>
  </r>
  <r>
    <n v="10047"/>
    <x v="219"/>
    <x v="1"/>
    <x v="0"/>
    <x v="0"/>
    <x v="0"/>
    <x v="1"/>
    <n v="3"/>
    <n v="139"/>
    <n v="417"/>
    <x v="0"/>
    <x v="0"/>
  </r>
  <r>
    <n v="10052"/>
    <x v="219"/>
    <x v="1"/>
    <x v="2"/>
    <x v="0"/>
    <x v="0"/>
    <x v="1"/>
    <n v="5"/>
    <n v="101"/>
    <n v="505"/>
    <x v="0"/>
    <x v="3"/>
  </r>
  <r>
    <n v="10214"/>
    <x v="219"/>
    <x v="0"/>
    <x v="3"/>
    <x v="1"/>
    <x v="2"/>
    <x v="6"/>
    <n v="1"/>
    <n v="108"/>
    <n v="108"/>
    <x v="0"/>
    <x v="2"/>
  </r>
  <r>
    <n v="10525"/>
    <x v="219"/>
    <x v="3"/>
    <x v="4"/>
    <x v="1"/>
    <x v="2"/>
    <x v="4"/>
    <n v="2"/>
    <n v="118"/>
    <n v="236"/>
    <x v="2"/>
    <x v="0"/>
  </r>
  <r>
    <n v="10650"/>
    <x v="219"/>
    <x v="0"/>
    <x v="4"/>
    <x v="1"/>
    <x v="0"/>
    <x v="8"/>
    <n v="2"/>
    <n v="47"/>
    <n v="94"/>
    <x v="3"/>
    <x v="0"/>
  </r>
  <r>
    <n v="10706"/>
    <x v="219"/>
    <x v="0"/>
    <x v="0"/>
    <x v="0"/>
    <x v="2"/>
    <x v="3"/>
    <n v="4"/>
    <n v="126"/>
    <n v="504"/>
    <x v="2"/>
    <x v="1"/>
  </r>
  <r>
    <n v="10118"/>
    <x v="220"/>
    <x v="3"/>
    <x v="1"/>
    <x v="1"/>
    <x v="0"/>
    <x v="8"/>
    <n v="2"/>
    <n v="133"/>
    <n v="266"/>
    <x v="4"/>
    <x v="2"/>
  </r>
  <r>
    <n v="10278"/>
    <x v="221"/>
    <x v="0"/>
    <x v="3"/>
    <x v="0"/>
    <x v="0"/>
    <x v="1"/>
    <n v="5"/>
    <n v="76"/>
    <n v="380"/>
    <x v="1"/>
    <x v="1"/>
  </r>
  <r>
    <n v="10166"/>
    <x v="222"/>
    <x v="2"/>
    <x v="4"/>
    <x v="1"/>
    <x v="1"/>
    <x v="2"/>
    <n v="2"/>
    <n v="140"/>
    <n v="280"/>
    <x v="4"/>
    <x v="1"/>
  </r>
  <r>
    <n v="10569"/>
    <x v="222"/>
    <x v="3"/>
    <x v="0"/>
    <x v="1"/>
    <x v="1"/>
    <x v="5"/>
    <n v="5"/>
    <n v="104"/>
    <n v="520"/>
    <x v="1"/>
    <x v="1"/>
  </r>
  <r>
    <n v="10163"/>
    <x v="223"/>
    <x v="3"/>
    <x v="3"/>
    <x v="1"/>
    <x v="1"/>
    <x v="7"/>
    <n v="2"/>
    <n v="89"/>
    <n v="178"/>
    <x v="0"/>
    <x v="3"/>
  </r>
  <r>
    <n v="10560"/>
    <x v="223"/>
    <x v="1"/>
    <x v="4"/>
    <x v="0"/>
    <x v="1"/>
    <x v="2"/>
    <n v="1"/>
    <n v="98"/>
    <n v="98"/>
    <x v="0"/>
    <x v="1"/>
  </r>
  <r>
    <n v="10738"/>
    <x v="223"/>
    <x v="0"/>
    <x v="3"/>
    <x v="0"/>
    <x v="2"/>
    <x v="6"/>
    <n v="1"/>
    <n v="118"/>
    <n v="118"/>
    <x v="2"/>
    <x v="0"/>
  </r>
  <r>
    <n v="11078"/>
    <x v="223"/>
    <x v="0"/>
    <x v="4"/>
    <x v="1"/>
    <x v="1"/>
    <x v="7"/>
    <n v="4"/>
    <n v="149"/>
    <n v="596"/>
    <x v="0"/>
    <x v="0"/>
  </r>
  <r>
    <n v="11116"/>
    <x v="223"/>
    <x v="3"/>
    <x v="4"/>
    <x v="0"/>
    <x v="0"/>
    <x v="8"/>
    <n v="3"/>
    <n v="36"/>
    <n v="108"/>
    <x v="1"/>
    <x v="3"/>
  </r>
  <r>
    <n v="10334"/>
    <x v="224"/>
    <x v="0"/>
    <x v="0"/>
    <x v="1"/>
    <x v="1"/>
    <x v="2"/>
    <n v="3"/>
    <n v="101"/>
    <n v="303"/>
    <x v="0"/>
    <x v="1"/>
  </r>
  <r>
    <n v="10359"/>
    <x v="224"/>
    <x v="2"/>
    <x v="4"/>
    <x v="0"/>
    <x v="0"/>
    <x v="1"/>
    <n v="2"/>
    <n v="61"/>
    <n v="122"/>
    <x v="3"/>
    <x v="2"/>
  </r>
  <r>
    <n v="10545"/>
    <x v="224"/>
    <x v="1"/>
    <x v="3"/>
    <x v="1"/>
    <x v="1"/>
    <x v="2"/>
    <n v="3"/>
    <n v="112"/>
    <n v="336"/>
    <x v="3"/>
    <x v="2"/>
  </r>
  <r>
    <n v="10026"/>
    <x v="225"/>
    <x v="0"/>
    <x v="3"/>
    <x v="0"/>
    <x v="1"/>
    <x v="7"/>
    <n v="4"/>
    <n v="87"/>
    <n v="348"/>
    <x v="0"/>
    <x v="1"/>
  </r>
  <r>
    <n v="10060"/>
    <x v="225"/>
    <x v="0"/>
    <x v="1"/>
    <x v="0"/>
    <x v="1"/>
    <x v="5"/>
    <n v="3"/>
    <n v="74"/>
    <n v="222"/>
    <x v="4"/>
    <x v="3"/>
  </r>
  <r>
    <n v="10226"/>
    <x v="225"/>
    <x v="0"/>
    <x v="3"/>
    <x v="0"/>
    <x v="2"/>
    <x v="4"/>
    <n v="4"/>
    <n v="59"/>
    <n v="236"/>
    <x v="1"/>
    <x v="1"/>
  </r>
  <r>
    <n v="10319"/>
    <x v="225"/>
    <x v="2"/>
    <x v="1"/>
    <x v="1"/>
    <x v="2"/>
    <x v="4"/>
    <n v="4"/>
    <n v="49"/>
    <n v="196"/>
    <x v="3"/>
    <x v="0"/>
  </r>
  <r>
    <n v="10587"/>
    <x v="225"/>
    <x v="1"/>
    <x v="3"/>
    <x v="1"/>
    <x v="2"/>
    <x v="4"/>
    <n v="5"/>
    <n v="141"/>
    <n v="705"/>
    <x v="1"/>
    <x v="0"/>
  </r>
  <r>
    <n v="10614"/>
    <x v="225"/>
    <x v="1"/>
    <x v="4"/>
    <x v="1"/>
    <x v="2"/>
    <x v="3"/>
    <n v="3"/>
    <n v="103"/>
    <n v="309"/>
    <x v="2"/>
    <x v="0"/>
  </r>
  <r>
    <n v="10632"/>
    <x v="225"/>
    <x v="1"/>
    <x v="2"/>
    <x v="0"/>
    <x v="1"/>
    <x v="2"/>
    <n v="1"/>
    <n v="140"/>
    <n v="140"/>
    <x v="2"/>
    <x v="2"/>
  </r>
  <r>
    <n v="10683"/>
    <x v="225"/>
    <x v="1"/>
    <x v="0"/>
    <x v="0"/>
    <x v="0"/>
    <x v="8"/>
    <n v="5"/>
    <n v="26"/>
    <n v="130"/>
    <x v="0"/>
    <x v="2"/>
  </r>
  <r>
    <n v="10734"/>
    <x v="225"/>
    <x v="2"/>
    <x v="4"/>
    <x v="0"/>
    <x v="1"/>
    <x v="2"/>
    <n v="3"/>
    <n v="57"/>
    <n v="171"/>
    <x v="2"/>
    <x v="3"/>
  </r>
  <r>
    <n v="10774"/>
    <x v="225"/>
    <x v="1"/>
    <x v="4"/>
    <x v="1"/>
    <x v="2"/>
    <x v="3"/>
    <n v="5"/>
    <n v="131"/>
    <n v="655"/>
    <x v="0"/>
    <x v="1"/>
  </r>
  <r>
    <n v="10874"/>
    <x v="225"/>
    <x v="1"/>
    <x v="3"/>
    <x v="0"/>
    <x v="2"/>
    <x v="3"/>
    <n v="5"/>
    <n v="22"/>
    <n v="110"/>
    <x v="1"/>
    <x v="0"/>
  </r>
  <r>
    <n v="10379"/>
    <x v="226"/>
    <x v="2"/>
    <x v="1"/>
    <x v="1"/>
    <x v="2"/>
    <x v="4"/>
    <n v="2"/>
    <n v="28"/>
    <n v="56"/>
    <x v="4"/>
    <x v="2"/>
  </r>
  <r>
    <n v="10590"/>
    <x v="226"/>
    <x v="0"/>
    <x v="4"/>
    <x v="1"/>
    <x v="2"/>
    <x v="3"/>
    <n v="3"/>
    <n v="65"/>
    <n v="195"/>
    <x v="4"/>
    <x v="2"/>
  </r>
  <r>
    <n v="10627"/>
    <x v="226"/>
    <x v="1"/>
    <x v="2"/>
    <x v="1"/>
    <x v="2"/>
    <x v="4"/>
    <n v="2"/>
    <n v="126"/>
    <n v="252"/>
    <x v="2"/>
    <x v="3"/>
  </r>
  <r>
    <n v="10729"/>
    <x v="226"/>
    <x v="0"/>
    <x v="3"/>
    <x v="1"/>
    <x v="1"/>
    <x v="7"/>
    <n v="4"/>
    <n v="92"/>
    <n v="368"/>
    <x v="1"/>
    <x v="3"/>
  </r>
  <r>
    <n v="10991"/>
    <x v="226"/>
    <x v="2"/>
    <x v="1"/>
    <x v="0"/>
    <x v="1"/>
    <x v="5"/>
    <n v="2"/>
    <n v="122"/>
    <n v="244"/>
    <x v="0"/>
    <x v="1"/>
  </r>
  <r>
    <n v="10030"/>
    <x v="227"/>
    <x v="0"/>
    <x v="4"/>
    <x v="1"/>
    <x v="1"/>
    <x v="5"/>
    <n v="2"/>
    <n v="96"/>
    <n v="192"/>
    <x v="2"/>
    <x v="0"/>
  </r>
  <r>
    <n v="10690"/>
    <x v="227"/>
    <x v="2"/>
    <x v="4"/>
    <x v="0"/>
    <x v="0"/>
    <x v="1"/>
    <n v="1"/>
    <n v="68"/>
    <n v="68"/>
    <x v="0"/>
    <x v="2"/>
  </r>
  <r>
    <n v="10694"/>
    <x v="227"/>
    <x v="0"/>
    <x v="2"/>
    <x v="1"/>
    <x v="0"/>
    <x v="1"/>
    <n v="5"/>
    <n v="133"/>
    <n v="665"/>
    <x v="4"/>
    <x v="1"/>
  </r>
  <r>
    <n v="10976"/>
    <x v="227"/>
    <x v="3"/>
    <x v="2"/>
    <x v="1"/>
    <x v="1"/>
    <x v="2"/>
    <n v="1"/>
    <n v="97"/>
    <n v="97"/>
    <x v="2"/>
    <x v="3"/>
  </r>
  <r>
    <n v="11149"/>
    <x v="227"/>
    <x v="2"/>
    <x v="1"/>
    <x v="0"/>
    <x v="0"/>
    <x v="8"/>
    <n v="3"/>
    <n v="113"/>
    <n v="339"/>
    <x v="4"/>
    <x v="3"/>
  </r>
  <r>
    <n v="11175"/>
    <x v="227"/>
    <x v="0"/>
    <x v="4"/>
    <x v="1"/>
    <x v="2"/>
    <x v="6"/>
    <n v="2"/>
    <n v="139"/>
    <n v="278"/>
    <x v="4"/>
    <x v="1"/>
  </r>
  <r>
    <n v="10443"/>
    <x v="228"/>
    <x v="0"/>
    <x v="4"/>
    <x v="1"/>
    <x v="0"/>
    <x v="0"/>
    <n v="2"/>
    <n v="26"/>
    <n v="52"/>
    <x v="3"/>
    <x v="0"/>
  </r>
  <r>
    <n v="10745"/>
    <x v="228"/>
    <x v="1"/>
    <x v="2"/>
    <x v="0"/>
    <x v="2"/>
    <x v="3"/>
    <n v="3"/>
    <n v="29"/>
    <n v="87"/>
    <x v="4"/>
    <x v="0"/>
  </r>
  <r>
    <n v="10803"/>
    <x v="228"/>
    <x v="1"/>
    <x v="2"/>
    <x v="0"/>
    <x v="2"/>
    <x v="4"/>
    <n v="2"/>
    <n v="142"/>
    <n v="284"/>
    <x v="4"/>
    <x v="2"/>
  </r>
  <r>
    <n v="11039"/>
    <x v="228"/>
    <x v="3"/>
    <x v="0"/>
    <x v="1"/>
    <x v="1"/>
    <x v="7"/>
    <n v="4"/>
    <n v="66"/>
    <n v="264"/>
    <x v="1"/>
    <x v="3"/>
  </r>
  <r>
    <n v="11106"/>
    <x v="228"/>
    <x v="2"/>
    <x v="4"/>
    <x v="1"/>
    <x v="0"/>
    <x v="1"/>
    <n v="1"/>
    <n v="48"/>
    <n v="48"/>
    <x v="4"/>
    <x v="2"/>
  </r>
  <r>
    <n v="10341"/>
    <x v="229"/>
    <x v="2"/>
    <x v="0"/>
    <x v="0"/>
    <x v="2"/>
    <x v="6"/>
    <n v="1"/>
    <n v="30"/>
    <n v="30"/>
    <x v="2"/>
    <x v="3"/>
  </r>
  <r>
    <n v="10599"/>
    <x v="229"/>
    <x v="1"/>
    <x v="4"/>
    <x v="0"/>
    <x v="2"/>
    <x v="3"/>
    <n v="4"/>
    <n v="105"/>
    <n v="420"/>
    <x v="1"/>
    <x v="2"/>
  </r>
  <r>
    <n v="10796"/>
    <x v="230"/>
    <x v="3"/>
    <x v="0"/>
    <x v="0"/>
    <x v="2"/>
    <x v="4"/>
    <n v="5"/>
    <n v="107"/>
    <n v="535"/>
    <x v="1"/>
    <x v="0"/>
  </r>
  <r>
    <n v="10612"/>
    <x v="231"/>
    <x v="3"/>
    <x v="4"/>
    <x v="0"/>
    <x v="1"/>
    <x v="5"/>
    <n v="2"/>
    <n v="40"/>
    <n v="80"/>
    <x v="3"/>
    <x v="3"/>
  </r>
  <r>
    <n v="10686"/>
    <x v="231"/>
    <x v="2"/>
    <x v="1"/>
    <x v="0"/>
    <x v="2"/>
    <x v="4"/>
    <n v="4"/>
    <n v="113"/>
    <n v="452"/>
    <x v="0"/>
    <x v="0"/>
  </r>
  <r>
    <n v="10187"/>
    <x v="232"/>
    <x v="3"/>
    <x v="2"/>
    <x v="1"/>
    <x v="1"/>
    <x v="7"/>
    <n v="3"/>
    <n v="114"/>
    <n v="342"/>
    <x v="3"/>
    <x v="2"/>
  </r>
  <r>
    <n v="10539"/>
    <x v="232"/>
    <x v="2"/>
    <x v="1"/>
    <x v="0"/>
    <x v="2"/>
    <x v="4"/>
    <n v="4"/>
    <n v="40"/>
    <n v="160"/>
    <x v="4"/>
    <x v="0"/>
  </r>
  <r>
    <n v="11080"/>
    <x v="232"/>
    <x v="1"/>
    <x v="4"/>
    <x v="1"/>
    <x v="0"/>
    <x v="0"/>
    <n v="3"/>
    <n v="139"/>
    <n v="417"/>
    <x v="0"/>
    <x v="0"/>
  </r>
  <r>
    <n v="10077"/>
    <x v="233"/>
    <x v="1"/>
    <x v="3"/>
    <x v="0"/>
    <x v="2"/>
    <x v="4"/>
    <n v="5"/>
    <n v="92"/>
    <n v="460"/>
    <x v="0"/>
    <x v="0"/>
  </r>
  <r>
    <n v="10088"/>
    <x v="233"/>
    <x v="0"/>
    <x v="3"/>
    <x v="0"/>
    <x v="0"/>
    <x v="8"/>
    <n v="4"/>
    <n v="43"/>
    <n v="172"/>
    <x v="4"/>
    <x v="0"/>
  </r>
  <r>
    <n v="11010"/>
    <x v="233"/>
    <x v="1"/>
    <x v="1"/>
    <x v="0"/>
    <x v="2"/>
    <x v="3"/>
    <n v="3"/>
    <n v="77"/>
    <n v="231"/>
    <x v="4"/>
    <x v="3"/>
  </r>
  <r>
    <n v="11097"/>
    <x v="233"/>
    <x v="2"/>
    <x v="1"/>
    <x v="0"/>
    <x v="0"/>
    <x v="8"/>
    <n v="1"/>
    <n v="70"/>
    <n v="70"/>
    <x v="2"/>
    <x v="3"/>
  </r>
  <r>
    <n v="10114"/>
    <x v="234"/>
    <x v="2"/>
    <x v="2"/>
    <x v="0"/>
    <x v="0"/>
    <x v="8"/>
    <n v="1"/>
    <n v="79"/>
    <n v="79"/>
    <x v="1"/>
    <x v="1"/>
  </r>
  <r>
    <n v="10324"/>
    <x v="234"/>
    <x v="0"/>
    <x v="3"/>
    <x v="1"/>
    <x v="2"/>
    <x v="4"/>
    <n v="2"/>
    <n v="31"/>
    <n v="62"/>
    <x v="0"/>
    <x v="0"/>
  </r>
  <r>
    <n v="10392"/>
    <x v="234"/>
    <x v="3"/>
    <x v="2"/>
    <x v="1"/>
    <x v="1"/>
    <x v="7"/>
    <n v="5"/>
    <n v="38"/>
    <n v="190"/>
    <x v="2"/>
    <x v="2"/>
  </r>
  <r>
    <n v="10482"/>
    <x v="234"/>
    <x v="1"/>
    <x v="4"/>
    <x v="1"/>
    <x v="0"/>
    <x v="0"/>
    <n v="1"/>
    <n v="57"/>
    <n v="57"/>
    <x v="4"/>
    <x v="1"/>
  </r>
  <r>
    <n v="10631"/>
    <x v="234"/>
    <x v="2"/>
    <x v="2"/>
    <x v="0"/>
    <x v="0"/>
    <x v="1"/>
    <n v="1"/>
    <n v="82"/>
    <n v="82"/>
    <x v="1"/>
    <x v="0"/>
  </r>
  <r>
    <n v="10674"/>
    <x v="234"/>
    <x v="1"/>
    <x v="4"/>
    <x v="0"/>
    <x v="2"/>
    <x v="6"/>
    <n v="2"/>
    <n v="38"/>
    <n v="76"/>
    <x v="0"/>
    <x v="1"/>
  </r>
  <r>
    <n v="10766"/>
    <x v="234"/>
    <x v="1"/>
    <x v="1"/>
    <x v="0"/>
    <x v="2"/>
    <x v="6"/>
    <n v="1"/>
    <n v="145"/>
    <n v="145"/>
    <x v="3"/>
    <x v="1"/>
  </r>
  <r>
    <n v="10807"/>
    <x v="234"/>
    <x v="2"/>
    <x v="3"/>
    <x v="1"/>
    <x v="0"/>
    <x v="1"/>
    <n v="4"/>
    <n v="144"/>
    <n v="576"/>
    <x v="0"/>
    <x v="2"/>
  </r>
  <r>
    <n v="10692"/>
    <x v="235"/>
    <x v="0"/>
    <x v="3"/>
    <x v="0"/>
    <x v="1"/>
    <x v="5"/>
    <n v="5"/>
    <n v="53"/>
    <n v="265"/>
    <x v="3"/>
    <x v="2"/>
  </r>
  <r>
    <n v="10806"/>
    <x v="235"/>
    <x v="1"/>
    <x v="4"/>
    <x v="1"/>
    <x v="2"/>
    <x v="6"/>
    <n v="4"/>
    <n v="57"/>
    <n v="228"/>
    <x v="0"/>
    <x v="1"/>
  </r>
  <r>
    <n v="10901"/>
    <x v="235"/>
    <x v="3"/>
    <x v="2"/>
    <x v="0"/>
    <x v="1"/>
    <x v="7"/>
    <n v="2"/>
    <n v="73"/>
    <n v="146"/>
    <x v="2"/>
    <x v="2"/>
  </r>
  <r>
    <n v="11027"/>
    <x v="235"/>
    <x v="3"/>
    <x v="2"/>
    <x v="1"/>
    <x v="0"/>
    <x v="1"/>
    <n v="3"/>
    <n v="97"/>
    <n v="291"/>
    <x v="3"/>
    <x v="1"/>
  </r>
  <r>
    <n v="11076"/>
    <x v="235"/>
    <x v="0"/>
    <x v="3"/>
    <x v="1"/>
    <x v="2"/>
    <x v="4"/>
    <n v="4"/>
    <n v="86"/>
    <n v="344"/>
    <x v="3"/>
    <x v="3"/>
  </r>
  <r>
    <n v="10730"/>
    <x v="236"/>
    <x v="0"/>
    <x v="0"/>
    <x v="1"/>
    <x v="1"/>
    <x v="5"/>
    <n v="2"/>
    <n v="37"/>
    <n v="74"/>
    <x v="2"/>
    <x v="0"/>
  </r>
  <r>
    <n v="10840"/>
    <x v="236"/>
    <x v="3"/>
    <x v="0"/>
    <x v="0"/>
    <x v="0"/>
    <x v="8"/>
    <n v="3"/>
    <n v="116"/>
    <n v="348"/>
    <x v="2"/>
    <x v="3"/>
  </r>
  <r>
    <n v="11137"/>
    <x v="236"/>
    <x v="1"/>
    <x v="1"/>
    <x v="0"/>
    <x v="1"/>
    <x v="7"/>
    <n v="3"/>
    <n v="27"/>
    <n v="81"/>
    <x v="3"/>
    <x v="0"/>
  </r>
  <r>
    <n v="11172"/>
    <x v="236"/>
    <x v="1"/>
    <x v="1"/>
    <x v="0"/>
    <x v="2"/>
    <x v="3"/>
    <n v="5"/>
    <n v="71"/>
    <n v="355"/>
    <x v="3"/>
    <x v="3"/>
  </r>
  <r>
    <n v="10217"/>
    <x v="237"/>
    <x v="3"/>
    <x v="1"/>
    <x v="0"/>
    <x v="0"/>
    <x v="0"/>
    <n v="4"/>
    <n v="141"/>
    <n v="564"/>
    <x v="4"/>
    <x v="0"/>
  </r>
  <r>
    <n v="10797"/>
    <x v="237"/>
    <x v="0"/>
    <x v="0"/>
    <x v="1"/>
    <x v="1"/>
    <x v="5"/>
    <n v="4"/>
    <n v="40"/>
    <n v="160"/>
    <x v="4"/>
    <x v="1"/>
  </r>
  <r>
    <n v="10125"/>
    <x v="238"/>
    <x v="1"/>
    <x v="3"/>
    <x v="1"/>
    <x v="1"/>
    <x v="2"/>
    <n v="1"/>
    <n v="35"/>
    <n v="35"/>
    <x v="2"/>
    <x v="3"/>
  </r>
  <r>
    <n v="10244"/>
    <x v="238"/>
    <x v="3"/>
    <x v="1"/>
    <x v="0"/>
    <x v="0"/>
    <x v="1"/>
    <n v="5"/>
    <n v="75"/>
    <n v="375"/>
    <x v="3"/>
    <x v="1"/>
  </r>
  <r>
    <n v="11016"/>
    <x v="238"/>
    <x v="0"/>
    <x v="1"/>
    <x v="0"/>
    <x v="0"/>
    <x v="1"/>
    <n v="1"/>
    <n v="131"/>
    <n v="131"/>
    <x v="3"/>
    <x v="3"/>
  </r>
  <r>
    <n v="11044"/>
    <x v="238"/>
    <x v="1"/>
    <x v="0"/>
    <x v="0"/>
    <x v="0"/>
    <x v="0"/>
    <n v="2"/>
    <n v="55"/>
    <n v="110"/>
    <x v="4"/>
    <x v="3"/>
  </r>
  <r>
    <n v="11199"/>
    <x v="238"/>
    <x v="2"/>
    <x v="4"/>
    <x v="1"/>
    <x v="1"/>
    <x v="7"/>
    <n v="5"/>
    <n v="121"/>
    <n v="605"/>
    <x v="4"/>
    <x v="1"/>
  </r>
  <r>
    <n v="10617"/>
    <x v="239"/>
    <x v="1"/>
    <x v="4"/>
    <x v="0"/>
    <x v="2"/>
    <x v="3"/>
    <n v="2"/>
    <n v="60"/>
    <n v="120"/>
    <x v="0"/>
    <x v="3"/>
  </r>
  <r>
    <n v="10094"/>
    <x v="240"/>
    <x v="1"/>
    <x v="0"/>
    <x v="0"/>
    <x v="0"/>
    <x v="1"/>
    <n v="3"/>
    <n v="126"/>
    <n v="378"/>
    <x v="1"/>
    <x v="1"/>
  </r>
  <r>
    <n v="10025"/>
    <x v="241"/>
    <x v="1"/>
    <x v="0"/>
    <x v="0"/>
    <x v="2"/>
    <x v="4"/>
    <n v="2"/>
    <n v="124"/>
    <n v="248"/>
    <x v="3"/>
    <x v="1"/>
  </r>
  <r>
    <n v="10157"/>
    <x v="241"/>
    <x v="3"/>
    <x v="0"/>
    <x v="1"/>
    <x v="1"/>
    <x v="7"/>
    <n v="2"/>
    <n v="107"/>
    <n v="214"/>
    <x v="0"/>
    <x v="0"/>
  </r>
  <r>
    <n v="10453"/>
    <x v="241"/>
    <x v="1"/>
    <x v="1"/>
    <x v="0"/>
    <x v="0"/>
    <x v="0"/>
    <n v="2"/>
    <n v="101"/>
    <n v="202"/>
    <x v="1"/>
    <x v="1"/>
  </r>
  <r>
    <n v="10717"/>
    <x v="241"/>
    <x v="1"/>
    <x v="1"/>
    <x v="1"/>
    <x v="2"/>
    <x v="3"/>
    <n v="3"/>
    <n v="115"/>
    <n v="345"/>
    <x v="3"/>
    <x v="1"/>
  </r>
  <r>
    <n v="10757"/>
    <x v="241"/>
    <x v="2"/>
    <x v="4"/>
    <x v="1"/>
    <x v="0"/>
    <x v="1"/>
    <n v="2"/>
    <n v="30"/>
    <n v="60"/>
    <x v="4"/>
    <x v="2"/>
  </r>
  <r>
    <n v="10835"/>
    <x v="241"/>
    <x v="1"/>
    <x v="0"/>
    <x v="1"/>
    <x v="2"/>
    <x v="4"/>
    <n v="5"/>
    <n v="52"/>
    <n v="260"/>
    <x v="0"/>
    <x v="3"/>
  </r>
  <r>
    <n v="10955"/>
    <x v="241"/>
    <x v="2"/>
    <x v="4"/>
    <x v="1"/>
    <x v="2"/>
    <x v="3"/>
    <n v="2"/>
    <n v="142"/>
    <n v="284"/>
    <x v="4"/>
    <x v="0"/>
  </r>
  <r>
    <n v="10464"/>
    <x v="242"/>
    <x v="1"/>
    <x v="2"/>
    <x v="1"/>
    <x v="0"/>
    <x v="8"/>
    <n v="3"/>
    <n v="108"/>
    <n v="324"/>
    <x v="1"/>
    <x v="1"/>
  </r>
  <r>
    <n v="10503"/>
    <x v="242"/>
    <x v="0"/>
    <x v="1"/>
    <x v="1"/>
    <x v="1"/>
    <x v="5"/>
    <n v="2"/>
    <n v="100"/>
    <n v="200"/>
    <x v="2"/>
    <x v="0"/>
  </r>
  <r>
    <n v="10952"/>
    <x v="242"/>
    <x v="3"/>
    <x v="2"/>
    <x v="1"/>
    <x v="2"/>
    <x v="3"/>
    <n v="2"/>
    <n v="70"/>
    <n v="140"/>
    <x v="2"/>
    <x v="1"/>
  </r>
  <r>
    <n v="10034"/>
    <x v="243"/>
    <x v="0"/>
    <x v="4"/>
    <x v="1"/>
    <x v="0"/>
    <x v="1"/>
    <n v="3"/>
    <n v="149"/>
    <n v="447"/>
    <x v="2"/>
    <x v="2"/>
  </r>
  <r>
    <n v="10395"/>
    <x v="243"/>
    <x v="2"/>
    <x v="0"/>
    <x v="0"/>
    <x v="1"/>
    <x v="7"/>
    <n v="2"/>
    <n v="60"/>
    <n v="120"/>
    <x v="2"/>
    <x v="3"/>
  </r>
  <r>
    <n v="10399"/>
    <x v="243"/>
    <x v="0"/>
    <x v="0"/>
    <x v="1"/>
    <x v="1"/>
    <x v="2"/>
    <n v="2"/>
    <n v="107"/>
    <n v="214"/>
    <x v="2"/>
    <x v="0"/>
  </r>
  <r>
    <n v="10657"/>
    <x v="243"/>
    <x v="1"/>
    <x v="4"/>
    <x v="0"/>
    <x v="2"/>
    <x v="3"/>
    <n v="5"/>
    <n v="81"/>
    <n v="405"/>
    <x v="2"/>
    <x v="3"/>
  </r>
  <r>
    <n v="10436"/>
    <x v="244"/>
    <x v="0"/>
    <x v="4"/>
    <x v="0"/>
    <x v="1"/>
    <x v="2"/>
    <n v="1"/>
    <n v="97"/>
    <n v="97"/>
    <x v="1"/>
    <x v="1"/>
  </r>
  <r>
    <n v="10936"/>
    <x v="244"/>
    <x v="2"/>
    <x v="0"/>
    <x v="1"/>
    <x v="2"/>
    <x v="6"/>
    <n v="1"/>
    <n v="36"/>
    <n v="36"/>
    <x v="0"/>
    <x v="1"/>
  </r>
  <r>
    <n v="10011"/>
    <x v="245"/>
    <x v="2"/>
    <x v="4"/>
    <x v="1"/>
    <x v="1"/>
    <x v="7"/>
    <n v="2"/>
    <n v="150"/>
    <n v="300"/>
    <x v="0"/>
    <x v="1"/>
  </r>
  <r>
    <n v="10358"/>
    <x v="245"/>
    <x v="1"/>
    <x v="1"/>
    <x v="0"/>
    <x v="0"/>
    <x v="8"/>
    <n v="2"/>
    <n v="125"/>
    <n v="250"/>
    <x v="3"/>
    <x v="3"/>
  </r>
  <r>
    <n v="10496"/>
    <x v="245"/>
    <x v="0"/>
    <x v="3"/>
    <x v="1"/>
    <x v="1"/>
    <x v="5"/>
    <n v="5"/>
    <n v="100"/>
    <n v="500"/>
    <x v="1"/>
    <x v="2"/>
  </r>
  <r>
    <n v="10620"/>
    <x v="246"/>
    <x v="2"/>
    <x v="4"/>
    <x v="1"/>
    <x v="0"/>
    <x v="1"/>
    <n v="4"/>
    <n v="103"/>
    <n v="412"/>
    <x v="0"/>
    <x v="0"/>
  </r>
  <r>
    <n v="10681"/>
    <x v="246"/>
    <x v="3"/>
    <x v="4"/>
    <x v="1"/>
    <x v="1"/>
    <x v="2"/>
    <n v="1"/>
    <n v="135"/>
    <n v="135"/>
    <x v="2"/>
    <x v="1"/>
  </r>
  <r>
    <n v="10728"/>
    <x v="246"/>
    <x v="0"/>
    <x v="1"/>
    <x v="1"/>
    <x v="1"/>
    <x v="7"/>
    <n v="5"/>
    <n v="54"/>
    <n v="270"/>
    <x v="3"/>
    <x v="2"/>
  </r>
  <r>
    <n v="10741"/>
    <x v="246"/>
    <x v="1"/>
    <x v="2"/>
    <x v="0"/>
    <x v="0"/>
    <x v="0"/>
    <n v="4"/>
    <n v="87"/>
    <n v="348"/>
    <x v="4"/>
    <x v="2"/>
  </r>
  <r>
    <n v="10785"/>
    <x v="246"/>
    <x v="2"/>
    <x v="3"/>
    <x v="0"/>
    <x v="0"/>
    <x v="8"/>
    <n v="4"/>
    <n v="49"/>
    <n v="196"/>
    <x v="1"/>
    <x v="3"/>
  </r>
  <r>
    <n v="11113"/>
    <x v="246"/>
    <x v="1"/>
    <x v="2"/>
    <x v="0"/>
    <x v="0"/>
    <x v="1"/>
    <n v="3"/>
    <n v="139"/>
    <n v="417"/>
    <x v="0"/>
    <x v="2"/>
  </r>
  <r>
    <n v="10320"/>
    <x v="247"/>
    <x v="0"/>
    <x v="2"/>
    <x v="0"/>
    <x v="0"/>
    <x v="0"/>
    <n v="1"/>
    <n v="61"/>
    <n v="61"/>
    <x v="0"/>
    <x v="2"/>
  </r>
  <r>
    <n v="10322"/>
    <x v="247"/>
    <x v="1"/>
    <x v="2"/>
    <x v="0"/>
    <x v="1"/>
    <x v="2"/>
    <n v="5"/>
    <n v="39"/>
    <n v="195"/>
    <x v="3"/>
    <x v="3"/>
  </r>
  <r>
    <n v="10586"/>
    <x v="247"/>
    <x v="1"/>
    <x v="2"/>
    <x v="1"/>
    <x v="0"/>
    <x v="8"/>
    <n v="1"/>
    <n v="137"/>
    <n v="137"/>
    <x v="1"/>
    <x v="3"/>
  </r>
  <r>
    <n v="10747"/>
    <x v="247"/>
    <x v="0"/>
    <x v="0"/>
    <x v="0"/>
    <x v="1"/>
    <x v="7"/>
    <n v="2"/>
    <n v="106"/>
    <n v="212"/>
    <x v="4"/>
    <x v="3"/>
  </r>
  <r>
    <n v="10759"/>
    <x v="247"/>
    <x v="2"/>
    <x v="0"/>
    <x v="1"/>
    <x v="0"/>
    <x v="1"/>
    <n v="5"/>
    <n v="84"/>
    <n v="420"/>
    <x v="4"/>
    <x v="2"/>
  </r>
  <r>
    <n v="10249"/>
    <x v="248"/>
    <x v="0"/>
    <x v="1"/>
    <x v="0"/>
    <x v="2"/>
    <x v="6"/>
    <n v="5"/>
    <n v="82"/>
    <n v="410"/>
    <x v="2"/>
    <x v="3"/>
  </r>
  <r>
    <n v="10667"/>
    <x v="248"/>
    <x v="2"/>
    <x v="1"/>
    <x v="0"/>
    <x v="2"/>
    <x v="3"/>
    <n v="1"/>
    <n v="66"/>
    <n v="66"/>
    <x v="2"/>
    <x v="0"/>
  </r>
  <r>
    <n v="10782"/>
    <x v="248"/>
    <x v="0"/>
    <x v="1"/>
    <x v="0"/>
    <x v="2"/>
    <x v="6"/>
    <n v="1"/>
    <n v="52"/>
    <n v="52"/>
    <x v="4"/>
    <x v="2"/>
  </r>
  <r>
    <n v="10124"/>
    <x v="249"/>
    <x v="3"/>
    <x v="2"/>
    <x v="1"/>
    <x v="0"/>
    <x v="1"/>
    <n v="1"/>
    <n v="135"/>
    <n v="135"/>
    <x v="1"/>
    <x v="2"/>
  </r>
  <r>
    <n v="11144"/>
    <x v="249"/>
    <x v="1"/>
    <x v="1"/>
    <x v="1"/>
    <x v="0"/>
    <x v="0"/>
    <n v="1"/>
    <n v="67"/>
    <n v="67"/>
    <x v="0"/>
    <x v="2"/>
  </r>
  <r>
    <n v="10737"/>
    <x v="250"/>
    <x v="0"/>
    <x v="2"/>
    <x v="0"/>
    <x v="1"/>
    <x v="2"/>
    <n v="4"/>
    <n v="145"/>
    <n v="580"/>
    <x v="1"/>
    <x v="0"/>
  </r>
  <r>
    <n v="10170"/>
    <x v="251"/>
    <x v="2"/>
    <x v="3"/>
    <x v="0"/>
    <x v="0"/>
    <x v="8"/>
    <n v="1"/>
    <n v="149"/>
    <n v="149"/>
    <x v="3"/>
    <x v="3"/>
  </r>
  <r>
    <n v="10206"/>
    <x v="251"/>
    <x v="1"/>
    <x v="2"/>
    <x v="0"/>
    <x v="0"/>
    <x v="1"/>
    <n v="3"/>
    <n v="106"/>
    <n v="318"/>
    <x v="2"/>
    <x v="0"/>
  </r>
  <r>
    <n v="10316"/>
    <x v="251"/>
    <x v="0"/>
    <x v="2"/>
    <x v="0"/>
    <x v="2"/>
    <x v="4"/>
    <n v="1"/>
    <n v="121"/>
    <n v="121"/>
    <x v="2"/>
    <x v="3"/>
  </r>
  <r>
    <n v="10186"/>
    <x v="252"/>
    <x v="3"/>
    <x v="4"/>
    <x v="1"/>
    <x v="0"/>
    <x v="1"/>
    <n v="2"/>
    <n v="112"/>
    <n v="224"/>
    <x v="0"/>
    <x v="1"/>
  </r>
  <r>
    <n v="10481"/>
    <x v="252"/>
    <x v="1"/>
    <x v="1"/>
    <x v="1"/>
    <x v="0"/>
    <x v="0"/>
    <n v="1"/>
    <n v="74"/>
    <n v="74"/>
    <x v="0"/>
    <x v="3"/>
  </r>
  <r>
    <n v="10564"/>
    <x v="252"/>
    <x v="2"/>
    <x v="1"/>
    <x v="0"/>
    <x v="0"/>
    <x v="8"/>
    <n v="2"/>
    <n v="117"/>
    <n v="234"/>
    <x v="1"/>
    <x v="0"/>
  </r>
  <r>
    <n v="10945"/>
    <x v="252"/>
    <x v="1"/>
    <x v="1"/>
    <x v="1"/>
    <x v="2"/>
    <x v="6"/>
    <n v="3"/>
    <n v="109"/>
    <n v="327"/>
    <x v="2"/>
    <x v="3"/>
  </r>
  <r>
    <n v="10288"/>
    <x v="253"/>
    <x v="1"/>
    <x v="3"/>
    <x v="1"/>
    <x v="2"/>
    <x v="4"/>
    <n v="3"/>
    <n v="56"/>
    <n v="168"/>
    <x v="1"/>
    <x v="3"/>
  </r>
  <r>
    <n v="11021"/>
    <x v="253"/>
    <x v="1"/>
    <x v="4"/>
    <x v="0"/>
    <x v="1"/>
    <x v="5"/>
    <n v="4"/>
    <n v="35"/>
    <n v="140"/>
    <x v="3"/>
    <x v="2"/>
  </r>
  <r>
    <n v="10794"/>
    <x v="254"/>
    <x v="3"/>
    <x v="3"/>
    <x v="0"/>
    <x v="1"/>
    <x v="2"/>
    <n v="1"/>
    <n v="114"/>
    <n v="114"/>
    <x v="2"/>
    <x v="3"/>
  </r>
  <r>
    <n v="10809"/>
    <x v="254"/>
    <x v="1"/>
    <x v="0"/>
    <x v="1"/>
    <x v="2"/>
    <x v="6"/>
    <n v="4"/>
    <n v="144"/>
    <n v="576"/>
    <x v="1"/>
    <x v="0"/>
  </r>
  <r>
    <n v="11032"/>
    <x v="254"/>
    <x v="1"/>
    <x v="2"/>
    <x v="0"/>
    <x v="0"/>
    <x v="0"/>
    <n v="5"/>
    <n v="22"/>
    <n v="110"/>
    <x v="4"/>
    <x v="1"/>
  </r>
  <r>
    <n v="11176"/>
    <x v="254"/>
    <x v="2"/>
    <x v="0"/>
    <x v="1"/>
    <x v="1"/>
    <x v="2"/>
    <n v="5"/>
    <n v="119"/>
    <n v="595"/>
    <x v="4"/>
    <x v="2"/>
  </r>
  <r>
    <n v="10020"/>
    <x v="255"/>
    <x v="3"/>
    <x v="1"/>
    <x v="0"/>
    <x v="2"/>
    <x v="4"/>
    <n v="3"/>
    <n v="38"/>
    <n v="114"/>
    <x v="0"/>
    <x v="1"/>
  </r>
  <r>
    <n v="10222"/>
    <x v="255"/>
    <x v="0"/>
    <x v="4"/>
    <x v="0"/>
    <x v="2"/>
    <x v="3"/>
    <n v="4"/>
    <n v="129"/>
    <n v="516"/>
    <x v="3"/>
    <x v="1"/>
  </r>
  <r>
    <n v="10441"/>
    <x v="255"/>
    <x v="2"/>
    <x v="4"/>
    <x v="1"/>
    <x v="1"/>
    <x v="2"/>
    <n v="2"/>
    <n v="102"/>
    <n v="204"/>
    <x v="1"/>
    <x v="0"/>
  </r>
  <r>
    <n v="10465"/>
    <x v="255"/>
    <x v="0"/>
    <x v="0"/>
    <x v="1"/>
    <x v="1"/>
    <x v="7"/>
    <n v="2"/>
    <n v="39"/>
    <n v="78"/>
    <x v="0"/>
    <x v="1"/>
  </r>
  <r>
    <n v="10715"/>
    <x v="255"/>
    <x v="3"/>
    <x v="0"/>
    <x v="1"/>
    <x v="2"/>
    <x v="6"/>
    <n v="3"/>
    <n v="39"/>
    <n v="117"/>
    <x v="1"/>
    <x v="1"/>
  </r>
  <r>
    <n v="10018"/>
    <x v="256"/>
    <x v="1"/>
    <x v="4"/>
    <x v="1"/>
    <x v="0"/>
    <x v="1"/>
    <n v="3"/>
    <n v="132"/>
    <n v="396"/>
    <x v="0"/>
    <x v="0"/>
  </r>
  <r>
    <n v="10282"/>
    <x v="256"/>
    <x v="3"/>
    <x v="2"/>
    <x v="1"/>
    <x v="0"/>
    <x v="0"/>
    <n v="2"/>
    <n v="82"/>
    <n v="164"/>
    <x v="4"/>
    <x v="3"/>
  </r>
  <r>
    <n v="10519"/>
    <x v="256"/>
    <x v="0"/>
    <x v="1"/>
    <x v="0"/>
    <x v="1"/>
    <x v="7"/>
    <n v="4"/>
    <n v="81"/>
    <n v="324"/>
    <x v="2"/>
    <x v="1"/>
  </r>
  <r>
    <n v="10875"/>
    <x v="256"/>
    <x v="0"/>
    <x v="2"/>
    <x v="1"/>
    <x v="1"/>
    <x v="2"/>
    <n v="1"/>
    <n v="136"/>
    <n v="136"/>
    <x v="3"/>
    <x v="0"/>
  </r>
  <r>
    <n v="11101"/>
    <x v="256"/>
    <x v="3"/>
    <x v="3"/>
    <x v="1"/>
    <x v="0"/>
    <x v="0"/>
    <n v="4"/>
    <n v="101"/>
    <n v="404"/>
    <x v="3"/>
    <x v="1"/>
  </r>
  <r>
    <n v="10176"/>
    <x v="257"/>
    <x v="0"/>
    <x v="4"/>
    <x v="0"/>
    <x v="2"/>
    <x v="6"/>
    <n v="4"/>
    <n v="114"/>
    <n v="456"/>
    <x v="3"/>
    <x v="3"/>
  </r>
  <r>
    <n v="10210"/>
    <x v="257"/>
    <x v="3"/>
    <x v="2"/>
    <x v="0"/>
    <x v="0"/>
    <x v="1"/>
    <n v="1"/>
    <n v="55"/>
    <n v="55"/>
    <x v="2"/>
    <x v="3"/>
  </r>
  <r>
    <n v="10895"/>
    <x v="257"/>
    <x v="0"/>
    <x v="0"/>
    <x v="1"/>
    <x v="2"/>
    <x v="4"/>
    <n v="3"/>
    <n v="133"/>
    <n v="399"/>
    <x v="2"/>
    <x v="2"/>
  </r>
  <r>
    <n v="10948"/>
    <x v="257"/>
    <x v="3"/>
    <x v="3"/>
    <x v="1"/>
    <x v="1"/>
    <x v="2"/>
    <n v="5"/>
    <n v="40"/>
    <n v="200"/>
    <x v="2"/>
    <x v="2"/>
  </r>
  <r>
    <n v="11165"/>
    <x v="257"/>
    <x v="1"/>
    <x v="4"/>
    <x v="1"/>
    <x v="2"/>
    <x v="6"/>
    <n v="1"/>
    <n v="138"/>
    <n v="138"/>
    <x v="3"/>
    <x v="2"/>
  </r>
  <r>
    <n v="10053"/>
    <x v="258"/>
    <x v="1"/>
    <x v="0"/>
    <x v="0"/>
    <x v="1"/>
    <x v="5"/>
    <n v="2"/>
    <n v="90"/>
    <n v="180"/>
    <x v="2"/>
    <x v="0"/>
  </r>
  <r>
    <n v="10280"/>
    <x v="258"/>
    <x v="1"/>
    <x v="1"/>
    <x v="0"/>
    <x v="1"/>
    <x v="5"/>
    <n v="4"/>
    <n v="72"/>
    <n v="288"/>
    <x v="3"/>
    <x v="3"/>
  </r>
  <r>
    <n v="10643"/>
    <x v="258"/>
    <x v="0"/>
    <x v="0"/>
    <x v="0"/>
    <x v="1"/>
    <x v="2"/>
    <n v="2"/>
    <n v="69"/>
    <n v="138"/>
    <x v="1"/>
    <x v="0"/>
  </r>
  <r>
    <n v="10693"/>
    <x v="258"/>
    <x v="0"/>
    <x v="3"/>
    <x v="0"/>
    <x v="2"/>
    <x v="4"/>
    <n v="1"/>
    <n v="79"/>
    <n v="79"/>
    <x v="4"/>
    <x v="3"/>
  </r>
  <r>
    <n v="11000"/>
    <x v="258"/>
    <x v="3"/>
    <x v="1"/>
    <x v="1"/>
    <x v="0"/>
    <x v="8"/>
    <n v="3"/>
    <n v="129"/>
    <n v="387"/>
    <x v="4"/>
    <x v="3"/>
  </r>
  <r>
    <n v="10067"/>
    <x v="259"/>
    <x v="0"/>
    <x v="2"/>
    <x v="0"/>
    <x v="0"/>
    <x v="0"/>
    <n v="4"/>
    <n v="65"/>
    <n v="260"/>
    <x v="2"/>
    <x v="3"/>
  </r>
  <r>
    <n v="10516"/>
    <x v="259"/>
    <x v="3"/>
    <x v="1"/>
    <x v="0"/>
    <x v="2"/>
    <x v="6"/>
    <n v="1"/>
    <n v="20"/>
    <n v="20"/>
    <x v="2"/>
    <x v="0"/>
  </r>
  <r>
    <n v="10511"/>
    <x v="260"/>
    <x v="2"/>
    <x v="4"/>
    <x v="0"/>
    <x v="0"/>
    <x v="0"/>
    <n v="1"/>
    <n v="121"/>
    <n v="121"/>
    <x v="1"/>
    <x v="1"/>
  </r>
  <r>
    <n v="10592"/>
    <x v="260"/>
    <x v="3"/>
    <x v="0"/>
    <x v="1"/>
    <x v="0"/>
    <x v="8"/>
    <n v="3"/>
    <n v="125"/>
    <n v="375"/>
    <x v="3"/>
    <x v="0"/>
  </r>
  <r>
    <n v="10123"/>
    <x v="261"/>
    <x v="2"/>
    <x v="4"/>
    <x v="0"/>
    <x v="1"/>
    <x v="7"/>
    <n v="2"/>
    <n v="127"/>
    <n v="254"/>
    <x v="2"/>
    <x v="2"/>
  </r>
  <r>
    <n v="10227"/>
    <x v="261"/>
    <x v="1"/>
    <x v="2"/>
    <x v="0"/>
    <x v="2"/>
    <x v="3"/>
    <n v="5"/>
    <n v="40"/>
    <n v="200"/>
    <x v="3"/>
    <x v="0"/>
  </r>
  <r>
    <n v="10538"/>
    <x v="261"/>
    <x v="0"/>
    <x v="4"/>
    <x v="0"/>
    <x v="0"/>
    <x v="1"/>
    <n v="4"/>
    <n v="145"/>
    <n v="580"/>
    <x v="0"/>
    <x v="0"/>
  </r>
  <r>
    <n v="10689"/>
    <x v="261"/>
    <x v="2"/>
    <x v="3"/>
    <x v="0"/>
    <x v="1"/>
    <x v="5"/>
    <n v="4"/>
    <n v="148"/>
    <n v="592"/>
    <x v="2"/>
    <x v="2"/>
  </r>
  <r>
    <n v="11055"/>
    <x v="261"/>
    <x v="3"/>
    <x v="4"/>
    <x v="1"/>
    <x v="1"/>
    <x v="7"/>
    <n v="5"/>
    <n v="127"/>
    <n v="635"/>
    <x v="4"/>
    <x v="0"/>
  </r>
  <r>
    <n v="11120"/>
    <x v="261"/>
    <x v="3"/>
    <x v="4"/>
    <x v="0"/>
    <x v="1"/>
    <x v="5"/>
    <n v="5"/>
    <n v="74"/>
    <n v="370"/>
    <x v="1"/>
    <x v="0"/>
  </r>
  <r>
    <n v="11152"/>
    <x v="261"/>
    <x v="3"/>
    <x v="1"/>
    <x v="0"/>
    <x v="1"/>
    <x v="2"/>
    <n v="5"/>
    <n v="135"/>
    <n v="675"/>
    <x v="4"/>
    <x v="3"/>
  </r>
  <r>
    <n v="10257"/>
    <x v="262"/>
    <x v="2"/>
    <x v="0"/>
    <x v="1"/>
    <x v="0"/>
    <x v="8"/>
    <n v="5"/>
    <n v="44"/>
    <n v="220"/>
    <x v="1"/>
    <x v="3"/>
  </r>
  <r>
    <n v="10637"/>
    <x v="262"/>
    <x v="2"/>
    <x v="1"/>
    <x v="1"/>
    <x v="0"/>
    <x v="0"/>
    <n v="4"/>
    <n v="66"/>
    <n v="264"/>
    <x v="0"/>
    <x v="1"/>
  </r>
  <r>
    <n v="10111"/>
    <x v="263"/>
    <x v="0"/>
    <x v="0"/>
    <x v="0"/>
    <x v="2"/>
    <x v="4"/>
    <n v="5"/>
    <n v="113"/>
    <n v="565"/>
    <x v="2"/>
    <x v="2"/>
  </r>
  <r>
    <n v="10309"/>
    <x v="263"/>
    <x v="2"/>
    <x v="2"/>
    <x v="1"/>
    <x v="0"/>
    <x v="1"/>
    <n v="2"/>
    <n v="37"/>
    <n v="74"/>
    <x v="2"/>
    <x v="2"/>
  </r>
  <r>
    <n v="10668"/>
    <x v="263"/>
    <x v="2"/>
    <x v="2"/>
    <x v="0"/>
    <x v="0"/>
    <x v="0"/>
    <n v="2"/>
    <n v="50"/>
    <n v="100"/>
    <x v="1"/>
    <x v="1"/>
  </r>
  <r>
    <n v="10822"/>
    <x v="263"/>
    <x v="1"/>
    <x v="0"/>
    <x v="1"/>
    <x v="0"/>
    <x v="1"/>
    <n v="2"/>
    <n v="58"/>
    <n v="116"/>
    <x v="2"/>
    <x v="3"/>
  </r>
  <r>
    <n v="11049"/>
    <x v="263"/>
    <x v="0"/>
    <x v="2"/>
    <x v="1"/>
    <x v="0"/>
    <x v="0"/>
    <n v="2"/>
    <n v="129"/>
    <n v="258"/>
    <x v="2"/>
    <x v="1"/>
  </r>
  <r>
    <n v="11140"/>
    <x v="263"/>
    <x v="1"/>
    <x v="2"/>
    <x v="0"/>
    <x v="1"/>
    <x v="7"/>
    <n v="5"/>
    <n v="90"/>
    <n v="450"/>
    <x v="3"/>
    <x v="0"/>
  </r>
  <r>
    <n v="10621"/>
    <x v="264"/>
    <x v="0"/>
    <x v="3"/>
    <x v="0"/>
    <x v="2"/>
    <x v="3"/>
    <n v="2"/>
    <n v="135"/>
    <n v="270"/>
    <x v="0"/>
    <x v="1"/>
  </r>
  <r>
    <n v="10160"/>
    <x v="265"/>
    <x v="3"/>
    <x v="1"/>
    <x v="0"/>
    <x v="0"/>
    <x v="8"/>
    <n v="4"/>
    <n v="79"/>
    <n v="316"/>
    <x v="0"/>
    <x v="2"/>
  </r>
  <r>
    <n v="10218"/>
    <x v="265"/>
    <x v="2"/>
    <x v="0"/>
    <x v="0"/>
    <x v="2"/>
    <x v="3"/>
    <n v="5"/>
    <n v="79"/>
    <n v="395"/>
    <x v="0"/>
    <x v="0"/>
  </r>
  <r>
    <n v="10764"/>
    <x v="265"/>
    <x v="3"/>
    <x v="3"/>
    <x v="0"/>
    <x v="1"/>
    <x v="2"/>
    <n v="3"/>
    <n v="51"/>
    <n v="153"/>
    <x v="3"/>
    <x v="3"/>
  </r>
  <r>
    <n v="11194"/>
    <x v="265"/>
    <x v="1"/>
    <x v="4"/>
    <x v="0"/>
    <x v="2"/>
    <x v="4"/>
    <n v="1"/>
    <n v="70"/>
    <n v="70"/>
    <x v="3"/>
    <x v="3"/>
  </r>
  <r>
    <n v="10113"/>
    <x v="266"/>
    <x v="2"/>
    <x v="3"/>
    <x v="0"/>
    <x v="2"/>
    <x v="6"/>
    <n v="1"/>
    <n v="87"/>
    <n v="87"/>
    <x v="4"/>
    <x v="3"/>
  </r>
  <r>
    <n v="10253"/>
    <x v="266"/>
    <x v="0"/>
    <x v="4"/>
    <x v="0"/>
    <x v="2"/>
    <x v="4"/>
    <n v="5"/>
    <n v="90"/>
    <n v="450"/>
    <x v="0"/>
    <x v="0"/>
  </r>
  <r>
    <n v="10373"/>
    <x v="266"/>
    <x v="0"/>
    <x v="3"/>
    <x v="0"/>
    <x v="2"/>
    <x v="3"/>
    <n v="1"/>
    <n v="93"/>
    <n v="93"/>
    <x v="2"/>
    <x v="3"/>
  </r>
  <r>
    <n v="11087"/>
    <x v="266"/>
    <x v="3"/>
    <x v="3"/>
    <x v="0"/>
    <x v="1"/>
    <x v="5"/>
    <n v="4"/>
    <n v="141"/>
    <n v="564"/>
    <x v="1"/>
    <x v="3"/>
  </r>
  <r>
    <n v="10057"/>
    <x v="267"/>
    <x v="3"/>
    <x v="3"/>
    <x v="1"/>
    <x v="1"/>
    <x v="5"/>
    <n v="4"/>
    <n v="127"/>
    <n v="508"/>
    <x v="4"/>
    <x v="3"/>
  </r>
  <r>
    <n v="10449"/>
    <x v="267"/>
    <x v="2"/>
    <x v="1"/>
    <x v="1"/>
    <x v="2"/>
    <x v="4"/>
    <n v="1"/>
    <n v="120"/>
    <n v="120"/>
    <x v="4"/>
    <x v="1"/>
  </r>
  <r>
    <n v="10061"/>
    <x v="268"/>
    <x v="2"/>
    <x v="1"/>
    <x v="1"/>
    <x v="1"/>
    <x v="7"/>
    <n v="4"/>
    <n v="24"/>
    <n v="96"/>
    <x v="3"/>
    <x v="0"/>
  </r>
  <r>
    <n v="10258"/>
    <x v="269"/>
    <x v="2"/>
    <x v="0"/>
    <x v="0"/>
    <x v="1"/>
    <x v="7"/>
    <n v="1"/>
    <n v="91"/>
    <n v="91"/>
    <x v="3"/>
    <x v="1"/>
  </r>
  <r>
    <n v="10345"/>
    <x v="269"/>
    <x v="1"/>
    <x v="1"/>
    <x v="0"/>
    <x v="1"/>
    <x v="2"/>
    <n v="3"/>
    <n v="142"/>
    <n v="426"/>
    <x v="2"/>
    <x v="2"/>
  </r>
  <r>
    <n v="10524"/>
    <x v="269"/>
    <x v="1"/>
    <x v="0"/>
    <x v="1"/>
    <x v="2"/>
    <x v="6"/>
    <n v="4"/>
    <n v="38"/>
    <n v="152"/>
    <x v="4"/>
    <x v="3"/>
  </r>
  <r>
    <n v="10211"/>
    <x v="270"/>
    <x v="0"/>
    <x v="1"/>
    <x v="0"/>
    <x v="1"/>
    <x v="7"/>
    <n v="4"/>
    <n v="107"/>
    <n v="428"/>
    <x v="0"/>
    <x v="1"/>
  </r>
  <r>
    <n v="10302"/>
    <x v="271"/>
    <x v="3"/>
    <x v="2"/>
    <x v="0"/>
    <x v="1"/>
    <x v="5"/>
    <n v="3"/>
    <n v="106"/>
    <n v="318"/>
    <x v="4"/>
    <x v="0"/>
  </r>
  <r>
    <n v="10402"/>
    <x v="271"/>
    <x v="0"/>
    <x v="3"/>
    <x v="1"/>
    <x v="1"/>
    <x v="5"/>
    <n v="4"/>
    <n v="51"/>
    <n v="204"/>
    <x v="0"/>
    <x v="0"/>
  </r>
  <r>
    <n v="10554"/>
    <x v="271"/>
    <x v="1"/>
    <x v="1"/>
    <x v="1"/>
    <x v="1"/>
    <x v="7"/>
    <n v="4"/>
    <n v="32"/>
    <n v="128"/>
    <x v="2"/>
    <x v="3"/>
  </r>
  <r>
    <n v="10561"/>
    <x v="271"/>
    <x v="1"/>
    <x v="2"/>
    <x v="1"/>
    <x v="2"/>
    <x v="3"/>
    <n v="5"/>
    <n v="86"/>
    <n v="430"/>
    <x v="3"/>
    <x v="3"/>
  </r>
  <r>
    <n v="10293"/>
    <x v="272"/>
    <x v="2"/>
    <x v="2"/>
    <x v="1"/>
    <x v="2"/>
    <x v="6"/>
    <n v="5"/>
    <n v="146"/>
    <n v="730"/>
    <x v="4"/>
    <x v="2"/>
  </r>
  <r>
    <n v="10451"/>
    <x v="272"/>
    <x v="1"/>
    <x v="2"/>
    <x v="1"/>
    <x v="2"/>
    <x v="3"/>
    <n v="5"/>
    <n v="33"/>
    <n v="165"/>
    <x v="4"/>
    <x v="0"/>
  </r>
  <r>
    <n v="10487"/>
    <x v="272"/>
    <x v="0"/>
    <x v="2"/>
    <x v="0"/>
    <x v="0"/>
    <x v="1"/>
    <n v="1"/>
    <n v="43"/>
    <n v="43"/>
    <x v="4"/>
    <x v="2"/>
  </r>
  <r>
    <n v="10591"/>
    <x v="272"/>
    <x v="2"/>
    <x v="1"/>
    <x v="0"/>
    <x v="1"/>
    <x v="5"/>
    <n v="1"/>
    <n v="129"/>
    <n v="129"/>
    <x v="0"/>
    <x v="0"/>
  </r>
  <r>
    <n v="10623"/>
    <x v="272"/>
    <x v="2"/>
    <x v="4"/>
    <x v="0"/>
    <x v="2"/>
    <x v="6"/>
    <n v="1"/>
    <n v="114"/>
    <n v="114"/>
    <x v="3"/>
    <x v="2"/>
  </r>
  <r>
    <n v="10479"/>
    <x v="273"/>
    <x v="1"/>
    <x v="0"/>
    <x v="0"/>
    <x v="0"/>
    <x v="8"/>
    <n v="2"/>
    <n v="125"/>
    <n v="250"/>
    <x v="1"/>
    <x v="3"/>
  </r>
  <r>
    <n v="10798"/>
    <x v="273"/>
    <x v="2"/>
    <x v="4"/>
    <x v="1"/>
    <x v="0"/>
    <x v="8"/>
    <n v="3"/>
    <n v="32"/>
    <n v="96"/>
    <x v="1"/>
    <x v="3"/>
  </r>
  <r>
    <n v="10996"/>
    <x v="273"/>
    <x v="0"/>
    <x v="2"/>
    <x v="1"/>
    <x v="2"/>
    <x v="3"/>
    <n v="3"/>
    <n v="92"/>
    <n v="276"/>
    <x v="3"/>
    <x v="1"/>
  </r>
  <r>
    <n v="11192"/>
    <x v="273"/>
    <x v="1"/>
    <x v="0"/>
    <x v="0"/>
    <x v="1"/>
    <x v="7"/>
    <n v="4"/>
    <n v="40"/>
    <n v="160"/>
    <x v="3"/>
    <x v="0"/>
  </r>
  <r>
    <n v="10248"/>
    <x v="274"/>
    <x v="1"/>
    <x v="1"/>
    <x v="1"/>
    <x v="0"/>
    <x v="0"/>
    <n v="1"/>
    <n v="86"/>
    <n v="86"/>
    <x v="0"/>
    <x v="2"/>
  </r>
  <r>
    <n v="10655"/>
    <x v="274"/>
    <x v="2"/>
    <x v="3"/>
    <x v="1"/>
    <x v="1"/>
    <x v="2"/>
    <n v="2"/>
    <n v="65"/>
    <n v="130"/>
    <x v="4"/>
    <x v="3"/>
  </r>
  <r>
    <n v="10709"/>
    <x v="274"/>
    <x v="1"/>
    <x v="4"/>
    <x v="0"/>
    <x v="2"/>
    <x v="4"/>
    <n v="4"/>
    <n v="94"/>
    <n v="376"/>
    <x v="1"/>
    <x v="2"/>
  </r>
  <r>
    <n v="10941"/>
    <x v="274"/>
    <x v="3"/>
    <x v="1"/>
    <x v="0"/>
    <x v="1"/>
    <x v="2"/>
    <n v="5"/>
    <n v="59"/>
    <n v="295"/>
    <x v="2"/>
    <x v="2"/>
  </r>
  <r>
    <n v="10071"/>
    <x v="275"/>
    <x v="3"/>
    <x v="3"/>
    <x v="0"/>
    <x v="2"/>
    <x v="4"/>
    <n v="4"/>
    <n v="145"/>
    <n v="580"/>
    <x v="2"/>
    <x v="0"/>
  </r>
  <r>
    <n v="10130"/>
    <x v="275"/>
    <x v="2"/>
    <x v="2"/>
    <x v="0"/>
    <x v="1"/>
    <x v="7"/>
    <n v="3"/>
    <n v="53"/>
    <n v="159"/>
    <x v="3"/>
    <x v="3"/>
  </r>
  <r>
    <n v="10289"/>
    <x v="275"/>
    <x v="3"/>
    <x v="3"/>
    <x v="0"/>
    <x v="1"/>
    <x v="7"/>
    <n v="4"/>
    <n v="64"/>
    <n v="256"/>
    <x v="0"/>
    <x v="1"/>
  </r>
  <r>
    <n v="10547"/>
    <x v="275"/>
    <x v="3"/>
    <x v="4"/>
    <x v="1"/>
    <x v="2"/>
    <x v="3"/>
    <n v="3"/>
    <n v="150"/>
    <n v="450"/>
    <x v="2"/>
    <x v="2"/>
  </r>
  <r>
    <n v="10616"/>
    <x v="275"/>
    <x v="2"/>
    <x v="1"/>
    <x v="0"/>
    <x v="1"/>
    <x v="2"/>
    <n v="1"/>
    <n v="103"/>
    <n v="103"/>
    <x v="2"/>
    <x v="3"/>
  </r>
  <r>
    <n v="10984"/>
    <x v="275"/>
    <x v="1"/>
    <x v="4"/>
    <x v="1"/>
    <x v="1"/>
    <x v="2"/>
    <n v="1"/>
    <n v="120"/>
    <n v="120"/>
    <x v="0"/>
    <x v="0"/>
  </r>
  <r>
    <n v="10985"/>
    <x v="275"/>
    <x v="1"/>
    <x v="1"/>
    <x v="1"/>
    <x v="2"/>
    <x v="3"/>
    <n v="2"/>
    <n v="21"/>
    <n v="42"/>
    <x v="3"/>
    <x v="1"/>
  </r>
  <r>
    <n v="10239"/>
    <x v="276"/>
    <x v="3"/>
    <x v="3"/>
    <x v="0"/>
    <x v="1"/>
    <x v="5"/>
    <n v="3"/>
    <n v="35"/>
    <n v="105"/>
    <x v="3"/>
    <x v="2"/>
  </r>
  <r>
    <n v="10265"/>
    <x v="276"/>
    <x v="1"/>
    <x v="4"/>
    <x v="1"/>
    <x v="2"/>
    <x v="4"/>
    <n v="4"/>
    <n v="134"/>
    <n v="536"/>
    <x v="3"/>
    <x v="2"/>
  </r>
  <r>
    <n v="10532"/>
    <x v="277"/>
    <x v="0"/>
    <x v="2"/>
    <x v="0"/>
    <x v="1"/>
    <x v="7"/>
    <n v="4"/>
    <n v="132"/>
    <n v="528"/>
    <x v="0"/>
    <x v="1"/>
  </r>
  <r>
    <n v="10555"/>
    <x v="277"/>
    <x v="3"/>
    <x v="3"/>
    <x v="0"/>
    <x v="0"/>
    <x v="0"/>
    <n v="2"/>
    <n v="143"/>
    <n v="286"/>
    <x v="1"/>
    <x v="1"/>
  </r>
  <r>
    <n v="10718"/>
    <x v="277"/>
    <x v="2"/>
    <x v="3"/>
    <x v="0"/>
    <x v="2"/>
    <x v="3"/>
    <n v="2"/>
    <n v="68"/>
    <n v="136"/>
    <x v="3"/>
    <x v="0"/>
  </r>
  <r>
    <n v="10780"/>
    <x v="277"/>
    <x v="2"/>
    <x v="2"/>
    <x v="1"/>
    <x v="1"/>
    <x v="5"/>
    <n v="3"/>
    <n v="53"/>
    <n v="159"/>
    <x v="4"/>
    <x v="1"/>
  </r>
  <r>
    <n v="11028"/>
    <x v="277"/>
    <x v="0"/>
    <x v="1"/>
    <x v="0"/>
    <x v="2"/>
    <x v="6"/>
    <n v="5"/>
    <n v="84"/>
    <n v="420"/>
    <x v="3"/>
    <x v="3"/>
  </r>
  <r>
    <n v="10010"/>
    <x v="278"/>
    <x v="0"/>
    <x v="2"/>
    <x v="0"/>
    <x v="2"/>
    <x v="6"/>
    <n v="2"/>
    <n v="83"/>
    <n v="166"/>
    <x v="1"/>
    <x v="3"/>
  </r>
  <r>
    <n v="10183"/>
    <x v="278"/>
    <x v="2"/>
    <x v="1"/>
    <x v="0"/>
    <x v="0"/>
    <x v="0"/>
    <n v="4"/>
    <n v="119"/>
    <n v="476"/>
    <x v="2"/>
    <x v="1"/>
  </r>
  <r>
    <n v="10565"/>
    <x v="278"/>
    <x v="2"/>
    <x v="4"/>
    <x v="1"/>
    <x v="2"/>
    <x v="4"/>
    <n v="5"/>
    <n v="137"/>
    <n v="685"/>
    <x v="1"/>
    <x v="2"/>
  </r>
  <r>
    <n v="10818"/>
    <x v="278"/>
    <x v="2"/>
    <x v="2"/>
    <x v="1"/>
    <x v="2"/>
    <x v="3"/>
    <n v="5"/>
    <n v="46"/>
    <n v="230"/>
    <x v="0"/>
    <x v="0"/>
  </r>
  <r>
    <n v="10986"/>
    <x v="278"/>
    <x v="0"/>
    <x v="4"/>
    <x v="1"/>
    <x v="0"/>
    <x v="0"/>
    <n v="2"/>
    <n v="42"/>
    <n v="84"/>
    <x v="3"/>
    <x v="2"/>
  </r>
  <r>
    <n v="11167"/>
    <x v="278"/>
    <x v="1"/>
    <x v="0"/>
    <x v="1"/>
    <x v="0"/>
    <x v="0"/>
    <n v="5"/>
    <n v="56"/>
    <n v="280"/>
    <x v="0"/>
    <x v="2"/>
  </r>
  <r>
    <n v="10787"/>
    <x v="279"/>
    <x v="3"/>
    <x v="2"/>
    <x v="1"/>
    <x v="2"/>
    <x v="3"/>
    <n v="5"/>
    <n v="89"/>
    <n v="445"/>
    <x v="1"/>
    <x v="1"/>
  </r>
  <r>
    <n v="11174"/>
    <x v="279"/>
    <x v="1"/>
    <x v="4"/>
    <x v="0"/>
    <x v="2"/>
    <x v="6"/>
    <n v="4"/>
    <n v="50"/>
    <n v="200"/>
    <x v="3"/>
    <x v="3"/>
  </r>
  <r>
    <n v="10065"/>
    <x v="280"/>
    <x v="2"/>
    <x v="1"/>
    <x v="0"/>
    <x v="2"/>
    <x v="3"/>
    <n v="3"/>
    <n v="50"/>
    <n v="150"/>
    <x v="4"/>
    <x v="0"/>
  </r>
  <r>
    <n v="10108"/>
    <x v="280"/>
    <x v="2"/>
    <x v="2"/>
    <x v="0"/>
    <x v="0"/>
    <x v="8"/>
    <n v="3"/>
    <n v="22"/>
    <n v="66"/>
    <x v="4"/>
    <x v="1"/>
  </r>
  <r>
    <n v="10120"/>
    <x v="280"/>
    <x v="3"/>
    <x v="4"/>
    <x v="1"/>
    <x v="2"/>
    <x v="6"/>
    <n v="2"/>
    <n v="52"/>
    <n v="104"/>
    <x v="1"/>
    <x v="1"/>
  </r>
  <r>
    <n v="10009"/>
    <x v="281"/>
    <x v="0"/>
    <x v="0"/>
    <x v="0"/>
    <x v="1"/>
    <x v="5"/>
    <n v="1"/>
    <n v="74"/>
    <n v="74"/>
    <x v="2"/>
    <x v="3"/>
  </r>
  <r>
    <n v="10016"/>
    <x v="281"/>
    <x v="2"/>
    <x v="4"/>
    <x v="0"/>
    <x v="1"/>
    <x v="7"/>
    <n v="1"/>
    <n v="81"/>
    <n v="81"/>
    <x v="3"/>
    <x v="1"/>
  </r>
  <r>
    <n v="10852"/>
    <x v="281"/>
    <x v="1"/>
    <x v="3"/>
    <x v="1"/>
    <x v="2"/>
    <x v="3"/>
    <n v="2"/>
    <n v="97"/>
    <n v="194"/>
    <x v="1"/>
    <x v="1"/>
  </r>
  <r>
    <n v="10740"/>
    <x v="282"/>
    <x v="1"/>
    <x v="2"/>
    <x v="0"/>
    <x v="0"/>
    <x v="8"/>
    <n v="4"/>
    <n v="48"/>
    <n v="192"/>
    <x v="2"/>
    <x v="1"/>
  </r>
  <r>
    <n v="10906"/>
    <x v="282"/>
    <x v="1"/>
    <x v="1"/>
    <x v="1"/>
    <x v="2"/>
    <x v="6"/>
    <n v="1"/>
    <n v="104"/>
    <n v="104"/>
    <x v="0"/>
    <x v="0"/>
  </r>
  <r>
    <n v="10912"/>
    <x v="282"/>
    <x v="1"/>
    <x v="3"/>
    <x v="0"/>
    <x v="1"/>
    <x v="2"/>
    <n v="2"/>
    <n v="104"/>
    <n v="208"/>
    <x v="1"/>
    <x v="0"/>
  </r>
  <r>
    <n v="10363"/>
    <x v="283"/>
    <x v="1"/>
    <x v="0"/>
    <x v="1"/>
    <x v="2"/>
    <x v="4"/>
    <n v="1"/>
    <n v="120"/>
    <n v="120"/>
    <x v="4"/>
    <x v="0"/>
  </r>
  <r>
    <n v="10601"/>
    <x v="283"/>
    <x v="1"/>
    <x v="0"/>
    <x v="1"/>
    <x v="2"/>
    <x v="6"/>
    <n v="4"/>
    <n v="62"/>
    <n v="248"/>
    <x v="4"/>
    <x v="2"/>
  </r>
  <r>
    <n v="10894"/>
    <x v="283"/>
    <x v="3"/>
    <x v="1"/>
    <x v="0"/>
    <x v="2"/>
    <x v="6"/>
    <n v="4"/>
    <n v="116"/>
    <n v="464"/>
    <x v="1"/>
    <x v="0"/>
  </r>
  <r>
    <n v="10983"/>
    <x v="283"/>
    <x v="3"/>
    <x v="4"/>
    <x v="0"/>
    <x v="1"/>
    <x v="5"/>
    <n v="4"/>
    <n v="96"/>
    <n v="384"/>
    <x v="3"/>
    <x v="1"/>
  </r>
  <r>
    <n v="10228"/>
    <x v="284"/>
    <x v="3"/>
    <x v="0"/>
    <x v="0"/>
    <x v="2"/>
    <x v="3"/>
    <n v="5"/>
    <n v="71"/>
    <n v="355"/>
    <x v="1"/>
    <x v="3"/>
  </r>
  <r>
    <n v="10468"/>
    <x v="284"/>
    <x v="3"/>
    <x v="4"/>
    <x v="1"/>
    <x v="2"/>
    <x v="3"/>
    <n v="5"/>
    <n v="30"/>
    <n v="150"/>
    <x v="4"/>
    <x v="1"/>
  </r>
  <r>
    <n v="10876"/>
    <x v="284"/>
    <x v="3"/>
    <x v="2"/>
    <x v="0"/>
    <x v="2"/>
    <x v="3"/>
    <n v="1"/>
    <n v="69"/>
    <n v="69"/>
    <x v="4"/>
    <x v="3"/>
  </r>
  <r>
    <n v="10064"/>
    <x v="285"/>
    <x v="1"/>
    <x v="3"/>
    <x v="1"/>
    <x v="2"/>
    <x v="3"/>
    <n v="1"/>
    <n v="99"/>
    <n v="99"/>
    <x v="3"/>
    <x v="1"/>
  </r>
  <r>
    <n v="10444"/>
    <x v="285"/>
    <x v="3"/>
    <x v="1"/>
    <x v="0"/>
    <x v="2"/>
    <x v="6"/>
    <n v="5"/>
    <n v="38"/>
    <n v="190"/>
    <x v="2"/>
    <x v="3"/>
  </r>
  <r>
    <n v="10652"/>
    <x v="285"/>
    <x v="2"/>
    <x v="2"/>
    <x v="0"/>
    <x v="1"/>
    <x v="7"/>
    <n v="3"/>
    <n v="120"/>
    <n v="360"/>
    <x v="2"/>
    <x v="3"/>
  </r>
  <r>
    <n v="10005"/>
    <x v="286"/>
    <x v="3"/>
    <x v="4"/>
    <x v="1"/>
    <x v="0"/>
    <x v="8"/>
    <n v="5"/>
    <n v="112"/>
    <n v="560"/>
    <x v="0"/>
    <x v="2"/>
  </r>
  <r>
    <n v="10238"/>
    <x v="286"/>
    <x v="0"/>
    <x v="0"/>
    <x v="0"/>
    <x v="0"/>
    <x v="8"/>
    <n v="2"/>
    <n v="101"/>
    <n v="202"/>
    <x v="0"/>
    <x v="1"/>
  </r>
  <r>
    <n v="10550"/>
    <x v="286"/>
    <x v="1"/>
    <x v="4"/>
    <x v="1"/>
    <x v="0"/>
    <x v="1"/>
    <n v="3"/>
    <n v="29"/>
    <n v="87"/>
    <x v="4"/>
    <x v="2"/>
  </r>
  <r>
    <n v="10600"/>
    <x v="286"/>
    <x v="0"/>
    <x v="1"/>
    <x v="1"/>
    <x v="0"/>
    <x v="1"/>
    <n v="1"/>
    <n v="73"/>
    <n v="73"/>
    <x v="0"/>
    <x v="2"/>
  </r>
  <r>
    <n v="10988"/>
    <x v="286"/>
    <x v="1"/>
    <x v="1"/>
    <x v="0"/>
    <x v="0"/>
    <x v="1"/>
    <n v="4"/>
    <n v="55"/>
    <n v="220"/>
    <x v="1"/>
    <x v="1"/>
  </r>
  <r>
    <n v="11052"/>
    <x v="286"/>
    <x v="1"/>
    <x v="1"/>
    <x v="1"/>
    <x v="0"/>
    <x v="8"/>
    <n v="1"/>
    <n v="48"/>
    <n v="48"/>
    <x v="3"/>
    <x v="2"/>
  </r>
  <r>
    <n v="10724"/>
    <x v="287"/>
    <x v="0"/>
    <x v="1"/>
    <x v="1"/>
    <x v="2"/>
    <x v="4"/>
    <n v="2"/>
    <n v="91"/>
    <n v="182"/>
    <x v="1"/>
    <x v="1"/>
  </r>
  <r>
    <n v="10725"/>
    <x v="287"/>
    <x v="2"/>
    <x v="2"/>
    <x v="1"/>
    <x v="0"/>
    <x v="1"/>
    <n v="1"/>
    <n v="45"/>
    <n v="45"/>
    <x v="0"/>
    <x v="2"/>
  </r>
  <r>
    <n v="10332"/>
    <x v="288"/>
    <x v="2"/>
    <x v="2"/>
    <x v="1"/>
    <x v="0"/>
    <x v="8"/>
    <n v="4"/>
    <n v="41"/>
    <n v="164"/>
    <x v="2"/>
    <x v="0"/>
  </r>
  <r>
    <n v="10712"/>
    <x v="288"/>
    <x v="1"/>
    <x v="2"/>
    <x v="0"/>
    <x v="1"/>
    <x v="7"/>
    <n v="5"/>
    <n v="112"/>
    <n v="560"/>
    <x v="4"/>
    <x v="3"/>
  </r>
  <r>
    <n v="10733"/>
    <x v="288"/>
    <x v="0"/>
    <x v="3"/>
    <x v="0"/>
    <x v="1"/>
    <x v="2"/>
    <n v="4"/>
    <n v="91"/>
    <n v="364"/>
    <x v="2"/>
    <x v="3"/>
  </r>
  <r>
    <n v="10207"/>
    <x v="289"/>
    <x v="0"/>
    <x v="4"/>
    <x v="0"/>
    <x v="1"/>
    <x v="5"/>
    <n v="1"/>
    <n v="126"/>
    <n v="126"/>
    <x v="4"/>
    <x v="1"/>
  </r>
  <r>
    <n v="10275"/>
    <x v="289"/>
    <x v="1"/>
    <x v="2"/>
    <x v="0"/>
    <x v="1"/>
    <x v="7"/>
    <n v="4"/>
    <n v="142"/>
    <n v="568"/>
    <x v="1"/>
    <x v="0"/>
  </r>
  <r>
    <n v="10548"/>
    <x v="289"/>
    <x v="3"/>
    <x v="0"/>
    <x v="0"/>
    <x v="2"/>
    <x v="4"/>
    <n v="3"/>
    <n v="113"/>
    <n v="339"/>
    <x v="4"/>
    <x v="0"/>
  </r>
  <r>
    <n v="10385"/>
    <x v="290"/>
    <x v="2"/>
    <x v="4"/>
    <x v="0"/>
    <x v="1"/>
    <x v="2"/>
    <n v="5"/>
    <n v="121"/>
    <n v="605"/>
    <x v="1"/>
    <x v="2"/>
  </r>
  <r>
    <n v="10528"/>
    <x v="290"/>
    <x v="2"/>
    <x v="3"/>
    <x v="1"/>
    <x v="1"/>
    <x v="7"/>
    <n v="2"/>
    <n v="90"/>
    <n v="180"/>
    <x v="3"/>
    <x v="0"/>
  </r>
  <r>
    <n v="10855"/>
    <x v="290"/>
    <x v="0"/>
    <x v="4"/>
    <x v="1"/>
    <x v="0"/>
    <x v="8"/>
    <n v="3"/>
    <n v="74"/>
    <n v="222"/>
    <x v="1"/>
    <x v="0"/>
  </r>
  <r>
    <n v="11130"/>
    <x v="290"/>
    <x v="1"/>
    <x v="3"/>
    <x v="1"/>
    <x v="2"/>
    <x v="4"/>
    <n v="3"/>
    <n v="57"/>
    <n v="171"/>
    <x v="1"/>
    <x v="1"/>
  </r>
  <r>
    <n v="10286"/>
    <x v="291"/>
    <x v="2"/>
    <x v="1"/>
    <x v="0"/>
    <x v="0"/>
    <x v="8"/>
    <n v="5"/>
    <n v="120"/>
    <n v="600"/>
    <x v="2"/>
    <x v="1"/>
  </r>
  <r>
    <n v="10318"/>
    <x v="291"/>
    <x v="2"/>
    <x v="1"/>
    <x v="0"/>
    <x v="2"/>
    <x v="3"/>
    <n v="3"/>
    <n v="120"/>
    <n v="360"/>
    <x v="0"/>
    <x v="0"/>
  </r>
  <r>
    <n v="10463"/>
    <x v="291"/>
    <x v="2"/>
    <x v="2"/>
    <x v="0"/>
    <x v="1"/>
    <x v="2"/>
    <n v="4"/>
    <n v="113"/>
    <n v="452"/>
    <x v="2"/>
    <x v="1"/>
  </r>
  <r>
    <n v="10949"/>
    <x v="291"/>
    <x v="0"/>
    <x v="3"/>
    <x v="1"/>
    <x v="0"/>
    <x v="8"/>
    <n v="5"/>
    <n v="117"/>
    <n v="585"/>
    <x v="3"/>
    <x v="2"/>
  </r>
  <r>
    <n v="11071"/>
    <x v="291"/>
    <x v="2"/>
    <x v="1"/>
    <x v="1"/>
    <x v="2"/>
    <x v="3"/>
    <n v="4"/>
    <n v="142"/>
    <n v="568"/>
    <x v="0"/>
    <x v="3"/>
  </r>
  <r>
    <n v="10019"/>
    <x v="292"/>
    <x v="3"/>
    <x v="4"/>
    <x v="1"/>
    <x v="1"/>
    <x v="7"/>
    <n v="5"/>
    <n v="78"/>
    <n v="390"/>
    <x v="3"/>
    <x v="1"/>
  </r>
  <r>
    <n v="10761"/>
    <x v="292"/>
    <x v="2"/>
    <x v="3"/>
    <x v="0"/>
    <x v="1"/>
    <x v="5"/>
    <n v="4"/>
    <n v="85"/>
    <n v="340"/>
    <x v="3"/>
    <x v="2"/>
  </r>
  <r>
    <n v="10148"/>
    <x v="293"/>
    <x v="2"/>
    <x v="1"/>
    <x v="1"/>
    <x v="1"/>
    <x v="2"/>
    <n v="3"/>
    <n v="90"/>
    <n v="270"/>
    <x v="4"/>
    <x v="3"/>
  </r>
  <r>
    <n v="10514"/>
    <x v="293"/>
    <x v="1"/>
    <x v="2"/>
    <x v="0"/>
    <x v="0"/>
    <x v="8"/>
    <n v="2"/>
    <n v="65"/>
    <n v="130"/>
    <x v="1"/>
    <x v="2"/>
  </r>
  <r>
    <n v="10636"/>
    <x v="293"/>
    <x v="3"/>
    <x v="3"/>
    <x v="0"/>
    <x v="2"/>
    <x v="3"/>
    <n v="1"/>
    <n v="64"/>
    <n v="64"/>
    <x v="0"/>
    <x v="2"/>
  </r>
  <r>
    <n v="10348"/>
    <x v="294"/>
    <x v="0"/>
    <x v="1"/>
    <x v="1"/>
    <x v="1"/>
    <x v="7"/>
    <n v="2"/>
    <n v="80"/>
    <n v="160"/>
    <x v="4"/>
    <x v="1"/>
  </r>
  <r>
    <n v="10749"/>
    <x v="294"/>
    <x v="0"/>
    <x v="1"/>
    <x v="1"/>
    <x v="2"/>
    <x v="3"/>
    <n v="1"/>
    <n v="44"/>
    <n v="44"/>
    <x v="1"/>
    <x v="3"/>
  </r>
  <r>
    <n v="10155"/>
    <x v="295"/>
    <x v="2"/>
    <x v="1"/>
    <x v="0"/>
    <x v="0"/>
    <x v="1"/>
    <n v="4"/>
    <n v="53"/>
    <n v="212"/>
    <x v="4"/>
    <x v="1"/>
  </r>
  <r>
    <n v="10401"/>
    <x v="295"/>
    <x v="2"/>
    <x v="4"/>
    <x v="1"/>
    <x v="0"/>
    <x v="8"/>
    <n v="5"/>
    <n v="32"/>
    <n v="160"/>
    <x v="3"/>
    <x v="0"/>
  </r>
  <r>
    <n v="10070"/>
    <x v="296"/>
    <x v="0"/>
    <x v="2"/>
    <x v="1"/>
    <x v="1"/>
    <x v="5"/>
    <n v="3"/>
    <n v="91"/>
    <n v="273"/>
    <x v="1"/>
    <x v="1"/>
  </r>
  <r>
    <n v="10471"/>
    <x v="296"/>
    <x v="2"/>
    <x v="0"/>
    <x v="0"/>
    <x v="2"/>
    <x v="3"/>
    <n v="3"/>
    <n v="136"/>
    <n v="408"/>
    <x v="2"/>
    <x v="1"/>
  </r>
  <r>
    <n v="10573"/>
    <x v="296"/>
    <x v="3"/>
    <x v="0"/>
    <x v="1"/>
    <x v="0"/>
    <x v="1"/>
    <n v="5"/>
    <n v="79"/>
    <n v="395"/>
    <x v="4"/>
    <x v="0"/>
  </r>
  <r>
    <n v="10778"/>
    <x v="296"/>
    <x v="0"/>
    <x v="4"/>
    <x v="1"/>
    <x v="0"/>
    <x v="0"/>
    <n v="4"/>
    <n v="128"/>
    <n v="512"/>
    <x v="1"/>
    <x v="0"/>
  </r>
  <r>
    <n v="11067"/>
    <x v="296"/>
    <x v="2"/>
    <x v="1"/>
    <x v="1"/>
    <x v="0"/>
    <x v="0"/>
    <n v="1"/>
    <n v="74"/>
    <n v="74"/>
    <x v="1"/>
    <x v="1"/>
  </r>
  <r>
    <n v="10015"/>
    <x v="297"/>
    <x v="0"/>
    <x v="3"/>
    <x v="1"/>
    <x v="2"/>
    <x v="3"/>
    <n v="5"/>
    <n v="20"/>
    <n v="100"/>
    <x v="3"/>
    <x v="2"/>
  </r>
  <r>
    <n v="10933"/>
    <x v="297"/>
    <x v="1"/>
    <x v="1"/>
    <x v="1"/>
    <x v="2"/>
    <x v="3"/>
    <n v="1"/>
    <n v="80"/>
    <n v="80"/>
    <x v="4"/>
    <x v="2"/>
  </r>
  <r>
    <n v="10470"/>
    <x v="298"/>
    <x v="3"/>
    <x v="2"/>
    <x v="1"/>
    <x v="1"/>
    <x v="7"/>
    <n v="2"/>
    <n v="125"/>
    <n v="250"/>
    <x v="1"/>
    <x v="2"/>
  </r>
  <r>
    <n v="11083"/>
    <x v="298"/>
    <x v="1"/>
    <x v="4"/>
    <x v="0"/>
    <x v="0"/>
    <x v="0"/>
    <n v="3"/>
    <n v="28"/>
    <n v="84"/>
    <x v="2"/>
    <x v="3"/>
  </r>
  <r>
    <n v="10146"/>
    <x v="299"/>
    <x v="3"/>
    <x v="4"/>
    <x v="1"/>
    <x v="2"/>
    <x v="6"/>
    <n v="2"/>
    <n v="64"/>
    <n v="128"/>
    <x v="2"/>
    <x v="3"/>
  </r>
  <r>
    <n v="10812"/>
    <x v="299"/>
    <x v="1"/>
    <x v="0"/>
    <x v="0"/>
    <x v="2"/>
    <x v="3"/>
    <n v="2"/>
    <n v="106"/>
    <n v="212"/>
    <x v="2"/>
    <x v="3"/>
  </r>
  <r>
    <n v="10947"/>
    <x v="299"/>
    <x v="3"/>
    <x v="4"/>
    <x v="1"/>
    <x v="0"/>
    <x v="0"/>
    <n v="3"/>
    <n v="83"/>
    <n v="249"/>
    <x v="3"/>
    <x v="3"/>
  </r>
  <r>
    <n v="11066"/>
    <x v="299"/>
    <x v="0"/>
    <x v="4"/>
    <x v="1"/>
    <x v="2"/>
    <x v="4"/>
    <n v="1"/>
    <n v="112"/>
    <n v="112"/>
    <x v="4"/>
    <x v="1"/>
  </r>
  <r>
    <n v="10086"/>
    <x v="300"/>
    <x v="0"/>
    <x v="4"/>
    <x v="1"/>
    <x v="0"/>
    <x v="0"/>
    <n v="4"/>
    <n v="102"/>
    <n v="408"/>
    <x v="0"/>
    <x v="0"/>
  </r>
  <r>
    <n v="10150"/>
    <x v="300"/>
    <x v="1"/>
    <x v="2"/>
    <x v="1"/>
    <x v="1"/>
    <x v="2"/>
    <n v="2"/>
    <n v="102"/>
    <n v="204"/>
    <x v="3"/>
    <x v="3"/>
  </r>
  <r>
    <n v="10261"/>
    <x v="300"/>
    <x v="1"/>
    <x v="1"/>
    <x v="1"/>
    <x v="1"/>
    <x v="7"/>
    <n v="1"/>
    <n v="107"/>
    <n v="107"/>
    <x v="4"/>
    <x v="3"/>
  </r>
  <r>
    <n v="10574"/>
    <x v="300"/>
    <x v="1"/>
    <x v="1"/>
    <x v="1"/>
    <x v="0"/>
    <x v="8"/>
    <n v="2"/>
    <n v="148"/>
    <n v="296"/>
    <x v="2"/>
    <x v="3"/>
  </r>
  <r>
    <n v="10137"/>
    <x v="301"/>
    <x v="1"/>
    <x v="3"/>
    <x v="0"/>
    <x v="1"/>
    <x v="2"/>
    <n v="4"/>
    <n v="144"/>
    <n v="576"/>
    <x v="0"/>
    <x v="0"/>
  </r>
  <r>
    <n v="10205"/>
    <x v="301"/>
    <x v="3"/>
    <x v="1"/>
    <x v="0"/>
    <x v="1"/>
    <x v="2"/>
    <n v="4"/>
    <n v="58"/>
    <n v="232"/>
    <x v="0"/>
    <x v="3"/>
  </r>
  <r>
    <n v="10007"/>
    <x v="302"/>
    <x v="3"/>
    <x v="2"/>
    <x v="1"/>
    <x v="2"/>
    <x v="3"/>
    <n v="3"/>
    <n v="38"/>
    <n v="114"/>
    <x v="0"/>
    <x v="3"/>
  </r>
  <r>
    <n v="10133"/>
    <x v="302"/>
    <x v="0"/>
    <x v="4"/>
    <x v="1"/>
    <x v="0"/>
    <x v="0"/>
    <n v="4"/>
    <n v="26"/>
    <n v="104"/>
    <x v="4"/>
    <x v="2"/>
  </r>
  <r>
    <n v="10577"/>
    <x v="302"/>
    <x v="1"/>
    <x v="1"/>
    <x v="0"/>
    <x v="2"/>
    <x v="6"/>
    <n v="4"/>
    <n v="30"/>
    <n v="120"/>
    <x v="1"/>
    <x v="0"/>
  </r>
  <r>
    <n v="10049"/>
    <x v="303"/>
    <x v="2"/>
    <x v="3"/>
    <x v="0"/>
    <x v="2"/>
    <x v="4"/>
    <n v="2"/>
    <n v="141"/>
    <n v="282"/>
    <x v="1"/>
    <x v="1"/>
  </r>
  <r>
    <n v="10032"/>
    <x v="304"/>
    <x v="2"/>
    <x v="2"/>
    <x v="0"/>
    <x v="1"/>
    <x v="7"/>
    <n v="4"/>
    <n v="97"/>
    <n v="388"/>
    <x v="3"/>
    <x v="1"/>
  </r>
  <r>
    <n v="10412"/>
    <x v="304"/>
    <x v="2"/>
    <x v="0"/>
    <x v="0"/>
    <x v="2"/>
    <x v="3"/>
    <n v="4"/>
    <n v="111"/>
    <n v="444"/>
    <x v="2"/>
    <x v="0"/>
  </r>
  <r>
    <n v="10485"/>
    <x v="305"/>
    <x v="3"/>
    <x v="4"/>
    <x v="0"/>
    <x v="0"/>
    <x v="1"/>
    <n v="5"/>
    <n v="79"/>
    <n v="395"/>
    <x v="0"/>
    <x v="0"/>
  </r>
  <r>
    <n v="10310"/>
    <x v="306"/>
    <x v="1"/>
    <x v="0"/>
    <x v="1"/>
    <x v="0"/>
    <x v="0"/>
    <n v="2"/>
    <n v="125"/>
    <n v="250"/>
    <x v="3"/>
    <x v="1"/>
  </r>
  <r>
    <n v="10595"/>
    <x v="306"/>
    <x v="1"/>
    <x v="3"/>
    <x v="1"/>
    <x v="2"/>
    <x v="6"/>
    <n v="1"/>
    <n v="73"/>
    <n v="73"/>
    <x v="4"/>
    <x v="2"/>
  </r>
  <r>
    <n v="11095"/>
    <x v="306"/>
    <x v="1"/>
    <x v="4"/>
    <x v="0"/>
    <x v="2"/>
    <x v="4"/>
    <n v="1"/>
    <n v="24"/>
    <n v="24"/>
    <x v="1"/>
    <x v="0"/>
  </r>
  <r>
    <n v="10816"/>
    <x v="307"/>
    <x v="3"/>
    <x v="4"/>
    <x v="1"/>
    <x v="2"/>
    <x v="6"/>
    <n v="4"/>
    <n v="49"/>
    <n v="196"/>
    <x v="2"/>
    <x v="2"/>
  </r>
  <r>
    <n v="11007"/>
    <x v="307"/>
    <x v="1"/>
    <x v="4"/>
    <x v="0"/>
    <x v="0"/>
    <x v="1"/>
    <n v="1"/>
    <n v="138"/>
    <n v="138"/>
    <x v="3"/>
    <x v="3"/>
  </r>
  <r>
    <n v="10104"/>
    <x v="308"/>
    <x v="3"/>
    <x v="3"/>
    <x v="1"/>
    <x v="2"/>
    <x v="4"/>
    <n v="1"/>
    <n v="117"/>
    <n v="117"/>
    <x v="0"/>
    <x v="3"/>
  </r>
  <r>
    <n v="10109"/>
    <x v="308"/>
    <x v="0"/>
    <x v="0"/>
    <x v="1"/>
    <x v="0"/>
    <x v="8"/>
    <n v="2"/>
    <n v="68"/>
    <n v="136"/>
    <x v="3"/>
    <x v="2"/>
  </r>
  <r>
    <n v="11142"/>
    <x v="308"/>
    <x v="1"/>
    <x v="3"/>
    <x v="0"/>
    <x v="0"/>
    <x v="0"/>
    <n v="3"/>
    <n v="77"/>
    <n v="231"/>
    <x v="3"/>
    <x v="1"/>
  </r>
  <r>
    <n v="10062"/>
    <x v="309"/>
    <x v="3"/>
    <x v="0"/>
    <x v="1"/>
    <x v="2"/>
    <x v="4"/>
    <n v="2"/>
    <n v="25"/>
    <n v="50"/>
    <x v="2"/>
    <x v="0"/>
  </r>
  <r>
    <n v="10328"/>
    <x v="309"/>
    <x v="3"/>
    <x v="3"/>
    <x v="0"/>
    <x v="2"/>
    <x v="6"/>
    <n v="5"/>
    <n v="97"/>
    <n v="485"/>
    <x v="1"/>
    <x v="3"/>
  </r>
  <r>
    <n v="10403"/>
    <x v="309"/>
    <x v="3"/>
    <x v="3"/>
    <x v="1"/>
    <x v="1"/>
    <x v="5"/>
    <n v="1"/>
    <n v="89"/>
    <n v="89"/>
    <x v="1"/>
    <x v="0"/>
  </r>
  <r>
    <n v="10558"/>
    <x v="310"/>
    <x v="3"/>
    <x v="3"/>
    <x v="1"/>
    <x v="1"/>
    <x v="7"/>
    <n v="3"/>
    <n v="133"/>
    <n v="399"/>
    <x v="0"/>
    <x v="1"/>
  </r>
  <r>
    <n v="10751"/>
    <x v="310"/>
    <x v="1"/>
    <x v="2"/>
    <x v="1"/>
    <x v="2"/>
    <x v="6"/>
    <n v="4"/>
    <n v="84"/>
    <n v="336"/>
    <x v="3"/>
    <x v="1"/>
  </r>
  <r>
    <n v="10801"/>
    <x v="310"/>
    <x v="0"/>
    <x v="1"/>
    <x v="1"/>
    <x v="1"/>
    <x v="2"/>
    <n v="4"/>
    <n v="135"/>
    <n v="540"/>
    <x v="0"/>
    <x v="1"/>
  </r>
  <r>
    <n v="10841"/>
    <x v="310"/>
    <x v="1"/>
    <x v="3"/>
    <x v="1"/>
    <x v="2"/>
    <x v="3"/>
    <n v="3"/>
    <n v="42"/>
    <n v="126"/>
    <x v="2"/>
    <x v="2"/>
  </r>
  <r>
    <n v="11155"/>
    <x v="310"/>
    <x v="3"/>
    <x v="1"/>
    <x v="0"/>
    <x v="0"/>
    <x v="0"/>
    <n v="5"/>
    <n v="94"/>
    <n v="470"/>
    <x v="4"/>
    <x v="0"/>
  </r>
  <r>
    <n v="11168"/>
    <x v="310"/>
    <x v="3"/>
    <x v="4"/>
    <x v="1"/>
    <x v="0"/>
    <x v="8"/>
    <n v="1"/>
    <n v="144"/>
    <n v="144"/>
    <x v="3"/>
    <x v="1"/>
  </r>
  <r>
    <n v="10083"/>
    <x v="311"/>
    <x v="3"/>
    <x v="3"/>
    <x v="1"/>
    <x v="2"/>
    <x v="3"/>
    <n v="2"/>
    <n v="87"/>
    <n v="174"/>
    <x v="1"/>
    <x v="1"/>
  </r>
  <r>
    <n v="10091"/>
    <x v="311"/>
    <x v="1"/>
    <x v="4"/>
    <x v="1"/>
    <x v="2"/>
    <x v="3"/>
    <n v="3"/>
    <n v="147"/>
    <n v="441"/>
    <x v="4"/>
    <x v="1"/>
  </r>
  <r>
    <n v="10269"/>
    <x v="311"/>
    <x v="1"/>
    <x v="2"/>
    <x v="1"/>
    <x v="2"/>
    <x v="6"/>
    <n v="3"/>
    <n v="83"/>
    <n v="249"/>
    <x v="2"/>
    <x v="0"/>
  </r>
  <r>
    <n v="10585"/>
    <x v="311"/>
    <x v="3"/>
    <x v="4"/>
    <x v="1"/>
    <x v="1"/>
    <x v="2"/>
    <n v="4"/>
    <n v="93"/>
    <n v="372"/>
    <x v="0"/>
    <x v="0"/>
  </r>
  <r>
    <n v="10624"/>
    <x v="311"/>
    <x v="0"/>
    <x v="3"/>
    <x v="0"/>
    <x v="2"/>
    <x v="4"/>
    <n v="4"/>
    <n v="120"/>
    <n v="480"/>
    <x v="2"/>
    <x v="3"/>
  </r>
  <r>
    <n v="11036"/>
    <x v="311"/>
    <x v="2"/>
    <x v="1"/>
    <x v="1"/>
    <x v="0"/>
    <x v="8"/>
    <n v="3"/>
    <n v="34"/>
    <n v="102"/>
    <x v="4"/>
    <x v="1"/>
  </r>
  <r>
    <n v="10147"/>
    <x v="312"/>
    <x v="0"/>
    <x v="0"/>
    <x v="0"/>
    <x v="0"/>
    <x v="1"/>
    <n v="4"/>
    <n v="102"/>
    <n v="408"/>
    <x v="3"/>
    <x v="3"/>
  </r>
  <r>
    <n v="11045"/>
    <x v="312"/>
    <x v="2"/>
    <x v="4"/>
    <x v="1"/>
    <x v="2"/>
    <x v="4"/>
    <n v="1"/>
    <n v="88"/>
    <n v="88"/>
    <x v="3"/>
    <x v="2"/>
  </r>
  <r>
    <n v="11102"/>
    <x v="312"/>
    <x v="0"/>
    <x v="2"/>
    <x v="1"/>
    <x v="0"/>
    <x v="0"/>
    <n v="5"/>
    <n v="120"/>
    <n v="600"/>
    <x v="4"/>
    <x v="1"/>
  </r>
  <r>
    <n v="10507"/>
    <x v="313"/>
    <x v="3"/>
    <x v="0"/>
    <x v="0"/>
    <x v="1"/>
    <x v="2"/>
    <n v="3"/>
    <n v="138"/>
    <n v="414"/>
    <x v="2"/>
    <x v="3"/>
  </r>
  <r>
    <n v="10972"/>
    <x v="313"/>
    <x v="3"/>
    <x v="3"/>
    <x v="0"/>
    <x v="1"/>
    <x v="2"/>
    <n v="5"/>
    <n v="142"/>
    <n v="710"/>
    <x v="2"/>
    <x v="0"/>
  </r>
  <r>
    <n v="10448"/>
    <x v="314"/>
    <x v="3"/>
    <x v="1"/>
    <x v="0"/>
    <x v="2"/>
    <x v="3"/>
    <n v="4"/>
    <n v="95"/>
    <n v="380"/>
    <x v="3"/>
    <x v="1"/>
  </r>
  <r>
    <n v="10544"/>
    <x v="314"/>
    <x v="1"/>
    <x v="1"/>
    <x v="1"/>
    <x v="0"/>
    <x v="8"/>
    <n v="3"/>
    <n v="125"/>
    <n v="375"/>
    <x v="1"/>
    <x v="1"/>
  </r>
  <r>
    <n v="10851"/>
    <x v="314"/>
    <x v="3"/>
    <x v="4"/>
    <x v="0"/>
    <x v="2"/>
    <x v="6"/>
    <n v="1"/>
    <n v="124"/>
    <n v="124"/>
    <x v="1"/>
    <x v="0"/>
  </r>
  <r>
    <n v="11104"/>
    <x v="314"/>
    <x v="0"/>
    <x v="0"/>
    <x v="1"/>
    <x v="2"/>
    <x v="3"/>
    <n v="2"/>
    <n v="136"/>
    <n v="272"/>
    <x v="0"/>
    <x v="2"/>
  </r>
  <r>
    <n v="10356"/>
    <x v="315"/>
    <x v="2"/>
    <x v="1"/>
    <x v="0"/>
    <x v="2"/>
    <x v="6"/>
    <n v="3"/>
    <n v="62"/>
    <n v="186"/>
    <x v="3"/>
    <x v="2"/>
  </r>
  <r>
    <n v="10035"/>
    <x v="316"/>
    <x v="0"/>
    <x v="0"/>
    <x v="0"/>
    <x v="2"/>
    <x v="4"/>
    <n v="3"/>
    <n v="53"/>
    <n v="159"/>
    <x v="1"/>
    <x v="3"/>
  </r>
  <r>
    <n v="10960"/>
    <x v="316"/>
    <x v="0"/>
    <x v="4"/>
    <x v="0"/>
    <x v="0"/>
    <x v="8"/>
    <n v="2"/>
    <n v="20"/>
    <n v="40"/>
    <x v="3"/>
    <x v="2"/>
  </r>
  <r>
    <n v="10106"/>
    <x v="317"/>
    <x v="1"/>
    <x v="1"/>
    <x v="0"/>
    <x v="2"/>
    <x v="6"/>
    <n v="3"/>
    <n v="96"/>
    <n v="288"/>
    <x v="4"/>
    <x v="1"/>
  </r>
  <r>
    <n v="10355"/>
    <x v="317"/>
    <x v="2"/>
    <x v="3"/>
    <x v="1"/>
    <x v="2"/>
    <x v="3"/>
    <n v="3"/>
    <n v="76"/>
    <n v="228"/>
    <x v="4"/>
    <x v="0"/>
  </r>
  <r>
    <n v="10596"/>
    <x v="317"/>
    <x v="3"/>
    <x v="1"/>
    <x v="0"/>
    <x v="0"/>
    <x v="1"/>
    <n v="2"/>
    <n v="22"/>
    <n v="44"/>
    <x v="3"/>
    <x v="2"/>
  </r>
  <r>
    <n v="10647"/>
    <x v="317"/>
    <x v="1"/>
    <x v="1"/>
    <x v="0"/>
    <x v="1"/>
    <x v="5"/>
    <n v="4"/>
    <n v="39"/>
    <n v="156"/>
    <x v="4"/>
    <x v="2"/>
  </r>
  <r>
    <n v="10666"/>
    <x v="317"/>
    <x v="0"/>
    <x v="2"/>
    <x v="0"/>
    <x v="0"/>
    <x v="0"/>
    <n v="2"/>
    <n v="56"/>
    <n v="112"/>
    <x v="2"/>
    <x v="1"/>
  </r>
  <r>
    <n v="10013"/>
    <x v="318"/>
    <x v="0"/>
    <x v="4"/>
    <x v="0"/>
    <x v="0"/>
    <x v="0"/>
    <n v="1"/>
    <n v="88"/>
    <n v="88"/>
    <x v="2"/>
    <x v="1"/>
  </r>
  <r>
    <n v="10162"/>
    <x v="318"/>
    <x v="1"/>
    <x v="1"/>
    <x v="1"/>
    <x v="0"/>
    <x v="0"/>
    <n v="3"/>
    <n v="33"/>
    <n v="99"/>
    <x v="1"/>
    <x v="0"/>
  </r>
  <r>
    <n v="10194"/>
    <x v="318"/>
    <x v="0"/>
    <x v="3"/>
    <x v="1"/>
    <x v="1"/>
    <x v="2"/>
    <n v="5"/>
    <n v="94"/>
    <n v="470"/>
    <x v="2"/>
    <x v="2"/>
  </r>
  <r>
    <n v="10536"/>
    <x v="318"/>
    <x v="0"/>
    <x v="4"/>
    <x v="1"/>
    <x v="0"/>
    <x v="8"/>
    <n v="3"/>
    <n v="124"/>
    <n v="372"/>
    <x v="1"/>
    <x v="0"/>
  </r>
  <r>
    <n v="10768"/>
    <x v="318"/>
    <x v="3"/>
    <x v="4"/>
    <x v="0"/>
    <x v="2"/>
    <x v="3"/>
    <n v="2"/>
    <n v="133"/>
    <n v="266"/>
    <x v="0"/>
    <x v="2"/>
  </r>
  <r>
    <n v="11126"/>
    <x v="318"/>
    <x v="2"/>
    <x v="1"/>
    <x v="1"/>
    <x v="1"/>
    <x v="5"/>
    <n v="4"/>
    <n v="146"/>
    <n v="584"/>
    <x v="3"/>
    <x v="1"/>
  </r>
  <r>
    <n v="10172"/>
    <x v="319"/>
    <x v="3"/>
    <x v="3"/>
    <x v="0"/>
    <x v="2"/>
    <x v="4"/>
    <n v="3"/>
    <n v="106"/>
    <n v="318"/>
    <x v="0"/>
    <x v="1"/>
  </r>
  <r>
    <n v="10966"/>
    <x v="319"/>
    <x v="0"/>
    <x v="3"/>
    <x v="0"/>
    <x v="2"/>
    <x v="3"/>
    <n v="5"/>
    <n v="36"/>
    <n v="180"/>
    <x v="1"/>
    <x v="3"/>
  </r>
  <r>
    <n v="10151"/>
    <x v="320"/>
    <x v="3"/>
    <x v="4"/>
    <x v="1"/>
    <x v="2"/>
    <x v="6"/>
    <n v="1"/>
    <n v="149"/>
    <n v="149"/>
    <x v="2"/>
    <x v="3"/>
  </r>
  <r>
    <n v="10156"/>
    <x v="320"/>
    <x v="1"/>
    <x v="2"/>
    <x v="0"/>
    <x v="0"/>
    <x v="1"/>
    <n v="5"/>
    <n v="43"/>
    <n v="215"/>
    <x v="3"/>
    <x v="2"/>
  </r>
  <r>
    <n v="10670"/>
    <x v="320"/>
    <x v="0"/>
    <x v="1"/>
    <x v="1"/>
    <x v="2"/>
    <x v="4"/>
    <n v="1"/>
    <n v="33"/>
    <n v="33"/>
    <x v="2"/>
    <x v="2"/>
  </r>
  <r>
    <n v="10842"/>
    <x v="320"/>
    <x v="2"/>
    <x v="0"/>
    <x v="1"/>
    <x v="0"/>
    <x v="0"/>
    <n v="4"/>
    <n v="91"/>
    <n v="364"/>
    <x v="1"/>
    <x v="2"/>
  </r>
  <r>
    <n v="10858"/>
    <x v="320"/>
    <x v="2"/>
    <x v="2"/>
    <x v="0"/>
    <x v="0"/>
    <x v="8"/>
    <n v="1"/>
    <n v="54"/>
    <n v="54"/>
    <x v="3"/>
    <x v="0"/>
  </r>
  <r>
    <n v="10343"/>
    <x v="321"/>
    <x v="0"/>
    <x v="3"/>
    <x v="0"/>
    <x v="2"/>
    <x v="4"/>
    <n v="5"/>
    <n v="82"/>
    <n v="410"/>
    <x v="1"/>
    <x v="3"/>
  </r>
  <r>
    <n v="10383"/>
    <x v="321"/>
    <x v="3"/>
    <x v="2"/>
    <x v="1"/>
    <x v="0"/>
    <x v="0"/>
    <n v="4"/>
    <n v="53"/>
    <n v="212"/>
    <x v="0"/>
    <x v="2"/>
  </r>
  <r>
    <n v="10431"/>
    <x v="321"/>
    <x v="1"/>
    <x v="0"/>
    <x v="0"/>
    <x v="2"/>
    <x v="3"/>
    <n v="5"/>
    <n v="77"/>
    <n v="385"/>
    <x v="3"/>
    <x v="3"/>
  </r>
  <r>
    <n v="10682"/>
    <x v="321"/>
    <x v="2"/>
    <x v="4"/>
    <x v="0"/>
    <x v="2"/>
    <x v="6"/>
    <n v="3"/>
    <n v="81"/>
    <n v="243"/>
    <x v="4"/>
    <x v="1"/>
  </r>
  <r>
    <n v="10934"/>
    <x v="321"/>
    <x v="0"/>
    <x v="4"/>
    <x v="1"/>
    <x v="0"/>
    <x v="0"/>
    <n v="5"/>
    <n v="126"/>
    <n v="630"/>
    <x v="4"/>
    <x v="2"/>
  </r>
  <r>
    <n v="10100"/>
    <x v="322"/>
    <x v="2"/>
    <x v="1"/>
    <x v="0"/>
    <x v="1"/>
    <x v="5"/>
    <n v="5"/>
    <n v="121"/>
    <n v="605"/>
    <x v="4"/>
    <x v="3"/>
  </r>
  <r>
    <n v="10115"/>
    <x v="322"/>
    <x v="1"/>
    <x v="4"/>
    <x v="1"/>
    <x v="0"/>
    <x v="0"/>
    <n v="4"/>
    <n v="97"/>
    <n v="388"/>
    <x v="3"/>
    <x v="0"/>
  </r>
  <r>
    <n v="10165"/>
    <x v="322"/>
    <x v="0"/>
    <x v="0"/>
    <x v="1"/>
    <x v="2"/>
    <x v="4"/>
    <n v="3"/>
    <n v="45"/>
    <n v="135"/>
    <x v="3"/>
    <x v="2"/>
  </r>
  <r>
    <n v="11139"/>
    <x v="322"/>
    <x v="1"/>
    <x v="3"/>
    <x v="1"/>
    <x v="1"/>
    <x v="5"/>
    <n v="1"/>
    <n v="32"/>
    <n v="32"/>
    <x v="4"/>
    <x v="1"/>
  </r>
  <r>
    <n v="11193"/>
    <x v="322"/>
    <x v="0"/>
    <x v="3"/>
    <x v="0"/>
    <x v="2"/>
    <x v="6"/>
    <n v="5"/>
    <n v="77"/>
    <n v="385"/>
    <x v="4"/>
    <x v="1"/>
  </r>
  <r>
    <n v="10193"/>
    <x v="323"/>
    <x v="3"/>
    <x v="2"/>
    <x v="0"/>
    <x v="2"/>
    <x v="3"/>
    <n v="5"/>
    <n v="87"/>
    <n v="435"/>
    <x v="1"/>
    <x v="0"/>
  </r>
  <r>
    <n v="10750"/>
    <x v="323"/>
    <x v="0"/>
    <x v="2"/>
    <x v="0"/>
    <x v="1"/>
    <x v="7"/>
    <n v="3"/>
    <n v="39"/>
    <n v="117"/>
    <x v="2"/>
    <x v="2"/>
  </r>
  <r>
    <n v="10458"/>
    <x v="324"/>
    <x v="3"/>
    <x v="1"/>
    <x v="0"/>
    <x v="2"/>
    <x v="3"/>
    <n v="3"/>
    <n v="140"/>
    <n v="420"/>
    <x v="0"/>
    <x v="2"/>
  </r>
  <r>
    <n v="10551"/>
    <x v="324"/>
    <x v="2"/>
    <x v="3"/>
    <x v="1"/>
    <x v="1"/>
    <x v="5"/>
    <n v="1"/>
    <n v="78"/>
    <n v="78"/>
    <x v="4"/>
    <x v="0"/>
  </r>
  <r>
    <n v="10980"/>
    <x v="324"/>
    <x v="1"/>
    <x v="4"/>
    <x v="0"/>
    <x v="1"/>
    <x v="5"/>
    <n v="3"/>
    <n v="64"/>
    <n v="192"/>
    <x v="2"/>
    <x v="2"/>
  </r>
  <r>
    <n v="10117"/>
    <x v="325"/>
    <x v="2"/>
    <x v="3"/>
    <x v="0"/>
    <x v="0"/>
    <x v="1"/>
    <n v="2"/>
    <n v="126"/>
    <n v="252"/>
    <x v="4"/>
    <x v="0"/>
  </r>
  <r>
    <n v="10298"/>
    <x v="325"/>
    <x v="3"/>
    <x v="0"/>
    <x v="1"/>
    <x v="2"/>
    <x v="6"/>
    <n v="1"/>
    <n v="90"/>
    <n v="90"/>
    <x v="0"/>
    <x v="2"/>
  </r>
  <r>
    <n v="10951"/>
    <x v="325"/>
    <x v="0"/>
    <x v="3"/>
    <x v="1"/>
    <x v="2"/>
    <x v="4"/>
    <n v="4"/>
    <n v="126"/>
    <n v="504"/>
    <x v="0"/>
    <x v="2"/>
  </r>
  <r>
    <n v="11051"/>
    <x v="325"/>
    <x v="3"/>
    <x v="1"/>
    <x v="1"/>
    <x v="0"/>
    <x v="0"/>
    <n v="1"/>
    <n v="58"/>
    <n v="58"/>
    <x v="2"/>
    <x v="3"/>
  </r>
  <r>
    <n v="10634"/>
    <x v="326"/>
    <x v="0"/>
    <x v="2"/>
    <x v="1"/>
    <x v="0"/>
    <x v="0"/>
    <n v="5"/>
    <n v="33"/>
    <n v="165"/>
    <x v="4"/>
    <x v="3"/>
  </r>
  <r>
    <n v="10987"/>
    <x v="326"/>
    <x v="2"/>
    <x v="0"/>
    <x v="0"/>
    <x v="1"/>
    <x v="2"/>
    <n v="2"/>
    <n v="128"/>
    <n v="256"/>
    <x v="3"/>
    <x v="2"/>
  </r>
  <r>
    <n v="10192"/>
    <x v="327"/>
    <x v="0"/>
    <x v="2"/>
    <x v="1"/>
    <x v="0"/>
    <x v="1"/>
    <n v="2"/>
    <n v="63"/>
    <n v="126"/>
    <x v="3"/>
    <x v="0"/>
  </r>
  <r>
    <n v="10535"/>
    <x v="327"/>
    <x v="1"/>
    <x v="0"/>
    <x v="0"/>
    <x v="0"/>
    <x v="0"/>
    <n v="3"/>
    <n v="36"/>
    <n v="108"/>
    <x v="1"/>
    <x v="1"/>
  </r>
  <r>
    <n v="10722"/>
    <x v="327"/>
    <x v="2"/>
    <x v="3"/>
    <x v="1"/>
    <x v="2"/>
    <x v="4"/>
    <n v="1"/>
    <n v="28"/>
    <n v="28"/>
    <x v="4"/>
    <x v="0"/>
  </r>
  <r>
    <n v="11109"/>
    <x v="327"/>
    <x v="2"/>
    <x v="4"/>
    <x v="0"/>
    <x v="2"/>
    <x v="6"/>
    <n v="1"/>
    <n v="65"/>
    <n v="65"/>
    <x v="4"/>
    <x v="3"/>
  </r>
  <r>
    <n v="11132"/>
    <x v="327"/>
    <x v="3"/>
    <x v="4"/>
    <x v="1"/>
    <x v="0"/>
    <x v="0"/>
    <n v="3"/>
    <n v="82"/>
    <n v="246"/>
    <x v="2"/>
    <x v="0"/>
  </r>
  <r>
    <n v="11177"/>
    <x v="327"/>
    <x v="0"/>
    <x v="3"/>
    <x v="1"/>
    <x v="1"/>
    <x v="2"/>
    <n v="2"/>
    <n v="91"/>
    <n v="182"/>
    <x v="2"/>
    <x v="3"/>
  </r>
  <r>
    <n v="11178"/>
    <x v="327"/>
    <x v="0"/>
    <x v="0"/>
    <x v="0"/>
    <x v="1"/>
    <x v="2"/>
    <n v="2"/>
    <n v="149"/>
    <n v="298"/>
    <x v="1"/>
    <x v="2"/>
  </r>
  <r>
    <n v="10158"/>
    <x v="328"/>
    <x v="0"/>
    <x v="2"/>
    <x v="1"/>
    <x v="1"/>
    <x v="7"/>
    <n v="5"/>
    <n v="29"/>
    <n v="145"/>
    <x v="1"/>
    <x v="3"/>
  </r>
  <r>
    <n v="10447"/>
    <x v="328"/>
    <x v="2"/>
    <x v="3"/>
    <x v="1"/>
    <x v="1"/>
    <x v="5"/>
    <n v="4"/>
    <n v="121"/>
    <n v="484"/>
    <x v="1"/>
    <x v="1"/>
  </r>
  <r>
    <n v="10469"/>
    <x v="328"/>
    <x v="0"/>
    <x v="4"/>
    <x v="1"/>
    <x v="0"/>
    <x v="8"/>
    <n v="5"/>
    <n v="24"/>
    <n v="120"/>
    <x v="2"/>
    <x v="3"/>
  </r>
  <r>
    <n v="10638"/>
    <x v="328"/>
    <x v="1"/>
    <x v="0"/>
    <x v="1"/>
    <x v="1"/>
    <x v="5"/>
    <n v="4"/>
    <n v="80"/>
    <n v="320"/>
    <x v="1"/>
    <x v="2"/>
  </r>
  <r>
    <n v="11157"/>
    <x v="328"/>
    <x v="2"/>
    <x v="4"/>
    <x v="0"/>
    <x v="1"/>
    <x v="7"/>
    <n v="4"/>
    <n v="110"/>
    <n v="440"/>
    <x v="0"/>
    <x v="2"/>
  </r>
  <r>
    <n v="10333"/>
    <x v="329"/>
    <x v="3"/>
    <x v="0"/>
    <x v="0"/>
    <x v="0"/>
    <x v="1"/>
    <n v="1"/>
    <n v="131"/>
    <n v="131"/>
    <x v="4"/>
    <x v="2"/>
  </r>
  <r>
    <n v="10513"/>
    <x v="329"/>
    <x v="0"/>
    <x v="1"/>
    <x v="0"/>
    <x v="0"/>
    <x v="0"/>
    <n v="1"/>
    <n v="28"/>
    <n v="28"/>
    <x v="2"/>
    <x v="2"/>
  </r>
  <r>
    <n v="10763"/>
    <x v="329"/>
    <x v="2"/>
    <x v="0"/>
    <x v="0"/>
    <x v="2"/>
    <x v="3"/>
    <n v="5"/>
    <n v="28"/>
    <n v="140"/>
    <x v="1"/>
    <x v="3"/>
  </r>
  <r>
    <n v="10891"/>
    <x v="329"/>
    <x v="2"/>
    <x v="0"/>
    <x v="0"/>
    <x v="2"/>
    <x v="3"/>
    <n v="1"/>
    <n v="140"/>
    <n v="140"/>
    <x v="1"/>
    <x v="2"/>
  </r>
  <r>
    <n v="11191"/>
    <x v="329"/>
    <x v="2"/>
    <x v="0"/>
    <x v="0"/>
    <x v="2"/>
    <x v="4"/>
    <n v="2"/>
    <n v="104"/>
    <n v="208"/>
    <x v="3"/>
    <x v="0"/>
  </r>
  <r>
    <n v="10935"/>
    <x v="330"/>
    <x v="3"/>
    <x v="0"/>
    <x v="0"/>
    <x v="2"/>
    <x v="4"/>
    <n v="5"/>
    <n v="33"/>
    <n v="165"/>
    <x v="1"/>
    <x v="2"/>
  </r>
  <r>
    <n v="10971"/>
    <x v="330"/>
    <x v="2"/>
    <x v="2"/>
    <x v="0"/>
    <x v="2"/>
    <x v="3"/>
    <n v="3"/>
    <n v="57"/>
    <n v="171"/>
    <x v="4"/>
    <x v="0"/>
  </r>
  <r>
    <n v="10105"/>
    <x v="331"/>
    <x v="2"/>
    <x v="3"/>
    <x v="0"/>
    <x v="0"/>
    <x v="8"/>
    <n v="4"/>
    <n v="85"/>
    <n v="340"/>
    <x v="1"/>
    <x v="1"/>
  </r>
  <r>
    <n v="10915"/>
    <x v="331"/>
    <x v="2"/>
    <x v="0"/>
    <x v="0"/>
    <x v="2"/>
    <x v="4"/>
    <n v="3"/>
    <n v="94"/>
    <n v="282"/>
    <x v="2"/>
    <x v="0"/>
  </r>
  <r>
    <n v="11013"/>
    <x v="331"/>
    <x v="3"/>
    <x v="3"/>
    <x v="0"/>
    <x v="0"/>
    <x v="8"/>
    <n v="1"/>
    <n v="61"/>
    <n v="61"/>
    <x v="3"/>
    <x v="3"/>
  </r>
  <r>
    <n v="11096"/>
    <x v="331"/>
    <x v="0"/>
    <x v="3"/>
    <x v="1"/>
    <x v="0"/>
    <x v="8"/>
    <n v="5"/>
    <n v="28"/>
    <n v="140"/>
    <x v="0"/>
    <x v="3"/>
  </r>
  <r>
    <n v="10058"/>
    <x v="332"/>
    <x v="1"/>
    <x v="0"/>
    <x v="0"/>
    <x v="1"/>
    <x v="7"/>
    <n v="4"/>
    <n v="106"/>
    <n v="424"/>
    <x v="0"/>
    <x v="0"/>
  </r>
  <r>
    <n v="10389"/>
    <x v="333"/>
    <x v="0"/>
    <x v="2"/>
    <x v="0"/>
    <x v="1"/>
    <x v="2"/>
    <n v="2"/>
    <n v="141"/>
    <n v="282"/>
    <x v="0"/>
    <x v="1"/>
  </r>
  <r>
    <n v="10429"/>
    <x v="333"/>
    <x v="2"/>
    <x v="0"/>
    <x v="0"/>
    <x v="2"/>
    <x v="6"/>
    <n v="2"/>
    <n v="33"/>
    <n v="66"/>
    <x v="0"/>
    <x v="2"/>
  </r>
  <r>
    <n v="10965"/>
    <x v="333"/>
    <x v="2"/>
    <x v="0"/>
    <x v="0"/>
    <x v="1"/>
    <x v="7"/>
    <n v="3"/>
    <n v="141"/>
    <n v="423"/>
    <x v="3"/>
    <x v="2"/>
  </r>
  <r>
    <n v="10230"/>
    <x v="334"/>
    <x v="0"/>
    <x v="4"/>
    <x v="0"/>
    <x v="1"/>
    <x v="2"/>
    <n v="1"/>
    <n v="138"/>
    <n v="138"/>
    <x v="4"/>
    <x v="0"/>
  </r>
  <r>
    <n v="10287"/>
    <x v="334"/>
    <x v="3"/>
    <x v="1"/>
    <x v="1"/>
    <x v="0"/>
    <x v="1"/>
    <n v="3"/>
    <n v="41"/>
    <n v="123"/>
    <x v="0"/>
    <x v="2"/>
  </r>
  <r>
    <n v="10326"/>
    <x v="334"/>
    <x v="2"/>
    <x v="0"/>
    <x v="1"/>
    <x v="0"/>
    <x v="8"/>
    <n v="1"/>
    <n v="148"/>
    <n v="148"/>
    <x v="1"/>
    <x v="0"/>
  </r>
  <r>
    <n v="10427"/>
    <x v="334"/>
    <x v="3"/>
    <x v="0"/>
    <x v="0"/>
    <x v="0"/>
    <x v="1"/>
    <n v="3"/>
    <n v="108"/>
    <n v="324"/>
    <x v="3"/>
    <x v="2"/>
  </r>
  <r>
    <n v="10598"/>
    <x v="334"/>
    <x v="1"/>
    <x v="3"/>
    <x v="1"/>
    <x v="2"/>
    <x v="4"/>
    <n v="3"/>
    <n v="106"/>
    <n v="318"/>
    <x v="0"/>
    <x v="3"/>
  </r>
  <r>
    <n v="10802"/>
    <x v="334"/>
    <x v="2"/>
    <x v="3"/>
    <x v="1"/>
    <x v="2"/>
    <x v="3"/>
    <n v="5"/>
    <n v="86"/>
    <n v="430"/>
    <x v="3"/>
    <x v="3"/>
  </r>
  <r>
    <n v="10428"/>
    <x v="335"/>
    <x v="0"/>
    <x v="3"/>
    <x v="1"/>
    <x v="0"/>
    <x v="8"/>
    <n v="5"/>
    <n v="126"/>
    <n v="630"/>
    <x v="1"/>
    <x v="0"/>
  </r>
  <r>
    <n v="10703"/>
    <x v="336"/>
    <x v="2"/>
    <x v="2"/>
    <x v="0"/>
    <x v="2"/>
    <x v="4"/>
    <n v="5"/>
    <n v="134"/>
    <n v="670"/>
    <x v="0"/>
    <x v="3"/>
  </r>
  <r>
    <n v="10788"/>
    <x v="336"/>
    <x v="2"/>
    <x v="1"/>
    <x v="1"/>
    <x v="1"/>
    <x v="7"/>
    <n v="2"/>
    <n v="147"/>
    <n v="294"/>
    <x v="4"/>
    <x v="0"/>
  </r>
  <r>
    <n v="11002"/>
    <x v="336"/>
    <x v="3"/>
    <x v="3"/>
    <x v="0"/>
    <x v="0"/>
    <x v="8"/>
    <n v="1"/>
    <n v="128"/>
    <n v="128"/>
    <x v="1"/>
    <x v="0"/>
  </r>
  <r>
    <n v="10138"/>
    <x v="337"/>
    <x v="1"/>
    <x v="2"/>
    <x v="0"/>
    <x v="1"/>
    <x v="5"/>
    <n v="1"/>
    <n v="92"/>
    <n v="92"/>
    <x v="3"/>
    <x v="1"/>
  </r>
  <r>
    <n v="10181"/>
    <x v="337"/>
    <x v="1"/>
    <x v="1"/>
    <x v="0"/>
    <x v="0"/>
    <x v="0"/>
    <n v="5"/>
    <n v="59"/>
    <n v="295"/>
    <x v="2"/>
    <x v="0"/>
  </r>
  <r>
    <n v="10641"/>
    <x v="337"/>
    <x v="0"/>
    <x v="2"/>
    <x v="1"/>
    <x v="2"/>
    <x v="6"/>
    <n v="4"/>
    <n v="117"/>
    <n v="468"/>
    <x v="3"/>
    <x v="2"/>
  </r>
  <r>
    <n v="10701"/>
    <x v="337"/>
    <x v="2"/>
    <x v="1"/>
    <x v="1"/>
    <x v="0"/>
    <x v="8"/>
    <n v="1"/>
    <n v="55"/>
    <n v="55"/>
    <x v="2"/>
    <x v="1"/>
  </r>
  <r>
    <n v="10997"/>
    <x v="337"/>
    <x v="1"/>
    <x v="3"/>
    <x v="1"/>
    <x v="1"/>
    <x v="5"/>
    <n v="2"/>
    <n v="108"/>
    <n v="216"/>
    <x v="4"/>
    <x v="0"/>
  </r>
  <r>
    <n v="10380"/>
    <x v="338"/>
    <x v="2"/>
    <x v="0"/>
    <x v="0"/>
    <x v="1"/>
    <x v="2"/>
    <n v="4"/>
    <n v="51"/>
    <n v="204"/>
    <x v="2"/>
    <x v="3"/>
  </r>
  <r>
    <n v="10865"/>
    <x v="338"/>
    <x v="1"/>
    <x v="4"/>
    <x v="0"/>
    <x v="2"/>
    <x v="3"/>
    <n v="1"/>
    <n v="84"/>
    <n v="84"/>
    <x v="3"/>
    <x v="2"/>
  </r>
  <r>
    <n v="10866"/>
    <x v="338"/>
    <x v="1"/>
    <x v="3"/>
    <x v="0"/>
    <x v="1"/>
    <x v="5"/>
    <n v="3"/>
    <n v="51"/>
    <n v="153"/>
    <x v="1"/>
    <x v="0"/>
  </r>
  <r>
    <n v="10924"/>
    <x v="338"/>
    <x v="2"/>
    <x v="0"/>
    <x v="1"/>
    <x v="2"/>
    <x v="4"/>
    <n v="3"/>
    <n v="69"/>
    <n v="207"/>
    <x v="0"/>
    <x v="1"/>
  </r>
  <r>
    <n v="10233"/>
    <x v="339"/>
    <x v="3"/>
    <x v="1"/>
    <x v="1"/>
    <x v="1"/>
    <x v="5"/>
    <n v="4"/>
    <n v="40"/>
    <n v="160"/>
    <x v="0"/>
    <x v="3"/>
  </r>
  <r>
    <n v="10273"/>
    <x v="339"/>
    <x v="2"/>
    <x v="3"/>
    <x v="1"/>
    <x v="0"/>
    <x v="0"/>
    <n v="5"/>
    <n v="66"/>
    <n v="330"/>
    <x v="2"/>
    <x v="2"/>
  </r>
  <r>
    <n v="10899"/>
    <x v="339"/>
    <x v="0"/>
    <x v="0"/>
    <x v="1"/>
    <x v="0"/>
    <x v="8"/>
    <n v="3"/>
    <n v="97"/>
    <n v="291"/>
    <x v="1"/>
    <x v="2"/>
  </r>
  <r>
    <n v="10008"/>
    <x v="340"/>
    <x v="0"/>
    <x v="4"/>
    <x v="1"/>
    <x v="1"/>
    <x v="5"/>
    <n v="5"/>
    <n v="76"/>
    <n v="380"/>
    <x v="3"/>
    <x v="2"/>
  </r>
  <r>
    <n v="10267"/>
    <x v="340"/>
    <x v="1"/>
    <x v="0"/>
    <x v="1"/>
    <x v="0"/>
    <x v="1"/>
    <n v="2"/>
    <n v="63"/>
    <n v="126"/>
    <x v="4"/>
    <x v="2"/>
  </r>
  <r>
    <n v="10291"/>
    <x v="340"/>
    <x v="1"/>
    <x v="3"/>
    <x v="0"/>
    <x v="0"/>
    <x v="1"/>
    <n v="4"/>
    <n v="124"/>
    <n v="496"/>
    <x v="2"/>
    <x v="1"/>
  </r>
  <r>
    <n v="10442"/>
    <x v="340"/>
    <x v="1"/>
    <x v="4"/>
    <x v="1"/>
    <x v="0"/>
    <x v="0"/>
    <n v="2"/>
    <n v="74"/>
    <n v="148"/>
    <x v="1"/>
    <x v="3"/>
  </r>
  <r>
    <n v="10472"/>
    <x v="340"/>
    <x v="1"/>
    <x v="0"/>
    <x v="1"/>
    <x v="2"/>
    <x v="4"/>
    <n v="2"/>
    <n v="149"/>
    <n v="298"/>
    <x v="0"/>
    <x v="3"/>
  </r>
  <r>
    <n v="10685"/>
    <x v="340"/>
    <x v="2"/>
    <x v="2"/>
    <x v="0"/>
    <x v="1"/>
    <x v="2"/>
    <n v="5"/>
    <n v="73"/>
    <n v="365"/>
    <x v="3"/>
    <x v="2"/>
  </r>
  <r>
    <n v="11047"/>
    <x v="340"/>
    <x v="1"/>
    <x v="4"/>
    <x v="0"/>
    <x v="2"/>
    <x v="6"/>
    <n v="3"/>
    <n v="77"/>
    <n v="231"/>
    <x v="0"/>
    <x v="0"/>
  </r>
  <r>
    <n v="11084"/>
    <x v="340"/>
    <x v="1"/>
    <x v="1"/>
    <x v="0"/>
    <x v="2"/>
    <x v="4"/>
    <n v="2"/>
    <n v="25"/>
    <n v="50"/>
    <x v="0"/>
    <x v="0"/>
  </r>
  <r>
    <n v="10129"/>
    <x v="341"/>
    <x v="1"/>
    <x v="4"/>
    <x v="1"/>
    <x v="0"/>
    <x v="8"/>
    <n v="3"/>
    <n v="59"/>
    <n v="177"/>
    <x v="3"/>
    <x v="0"/>
  </r>
  <r>
    <n v="10477"/>
    <x v="342"/>
    <x v="0"/>
    <x v="3"/>
    <x v="0"/>
    <x v="0"/>
    <x v="0"/>
    <n v="4"/>
    <n v="72"/>
    <n v="288"/>
    <x v="3"/>
    <x v="1"/>
  </r>
  <r>
    <n v="10744"/>
    <x v="342"/>
    <x v="2"/>
    <x v="1"/>
    <x v="1"/>
    <x v="0"/>
    <x v="8"/>
    <n v="5"/>
    <n v="41"/>
    <n v="205"/>
    <x v="4"/>
    <x v="1"/>
  </r>
  <r>
    <n v="10907"/>
    <x v="342"/>
    <x v="1"/>
    <x v="4"/>
    <x v="1"/>
    <x v="0"/>
    <x v="1"/>
    <n v="2"/>
    <n v="28"/>
    <n v="56"/>
    <x v="0"/>
    <x v="0"/>
  </r>
  <r>
    <n v="11037"/>
    <x v="342"/>
    <x v="1"/>
    <x v="1"/>
    <x v="1"/>
    <x v="1"/>
    <x v="7"/>
    <n v="5"/>
    <n v="47"/>
    <n v="235"/>
    <x v="2"/>
    <x v="1"/>
  </r>
  <r>
    <n v="11128"/>
    <x v="342"/>
    <x v="2"/>
    <x v="1"/>
    <x v="1"/>
    <x v="0"/>
    <x v="8"/>
    <n v="5"/>
    <n v="21"/>
    <n v="105"/>
    <x v="3"/>
    <x v="0"/>
  </r>
  <r>
    <n v="11129"/>
    <x v="342"/>
    <x v="1"/>
    <x v="1"/>
    <x v="1"/>
    <x v="1"/>
    <x v="7"/>
    <n v="3"/>
    <n v="104"/>
    <n v="312"/>
    <x v="0"/>
    <x v="3"/>
  </r>
  <r>
    <n v="10036"/>
    <x v="343"/>
    <x v="3"/>
    <x v="2"/>
    <x v="1"/>
    <x v="0"/>
    <x v="0"/>
    <n v="1"/>
    <n v="39"/>
    <n v="39"/>
    <x v="4"/>
    <x v="1"/>
  </r>
  <r>
    <n v="10143"/>
    <x v="343"/>
    <x v="0"/>
    <x v="4"/>
    <x v="0"/>
    <x v="1"/>
    <x v="7"/>
    <n v="5"/>
    <n v="137"/>
    <n v="685"/>
    <x v="3"/>
    <x v="1"/>
  </r>
  <r>
    <n v="10178"/>
    <x v="343"/>
    <x v="1"/>
    <x v="1"/>
    <x v="0"/>
    <x v="1"/>
    <x v="2"/>
    <n v="4"/>
    <n v="62"/>
    <n v="248"/>
    <x v="3"/>
    <x v="2"/>
  </r>
  <r>
    <n v="10312"/>
    <x v="343"/>
    <x v="2"/>
    <x v="1"/>
    <x v="1"/>
    <x v="2"/>
    <x v="3"/>
    <n v="5"/>
    <n v="92"/>
    <n v="460"/>
    <x v="1"/>
    <x v="1"/>
  </r>
  <r>
    <n v="10410"/>
    <x v="343"/>
    <x v="1"/>
    <x v="3"/>
    <x v="1"/>
    <x v="1"/>
    <x v="5"/>
    <n v="3"/>
    <n v="118"/>
    <n v="354"/>
    <x v="3"/>
    <x v="1"/>
  </r>
  <r>
    <n v="10430"/>
    <x v="343"/>
    <x v="0"/>
    <x v="0"/>
    <x v="1"/>
    <x v="0"/>
    <x v="8"/>
    <n v="2"/>
    <n v="35"/>
    <n v="70"/>
    <x v="4"/>
    <x v="3"/>
  </r>
  <r>
    <n v="10580"/>
    <x v="343"/>
    <x v="3"/>
    <x v="3"/>
    <x v="0"/>
    <x v="2"/>
    <x v="6"/>
    <n v="3"/>
    <n v="33"/>
    <n v="99"/>
    <x v="3"/>
    <x v="0"/>
  </r>
  <r>
    <n v="10630"/>
    <x v="343"/>
    <x v="2"/>
    <x v="0"/>
    <x v="0"/>
    <x v="0"/>
    <x v="8"/>
    <n v="1"/>
    <n v="143"/>
    <n v="143"/>
    <x v="2"/>
    <x v="0"/>
  </r>
  <r>
    <n v="10072"/>
    <x v="344"/>
    <x v="3"/>
    <x v="1"/>
    <x v="0"/>
    <x v="2"/>
    <x v="6"/>
    <n v="2"/>
    <n v="123"/>
    <n v="246"/>
    <x v="2"/>
    <x v="2"/>
  </r>
  <r>
    <n v="10424"/>
    <x v="344"/>
    <x v="3"/>
    <x v="0"/>
    <x v="1"/>
    <x v="0"/>
    <x v="8"/>
    <n v="5"/>
    <n v="65"/>
    <n v="325"/>
    <x v="2"/>
    <x v="2"/>
  </r>
  <r>
    <n v="10676"/>
    <x v="344"/>
    <x v="2"/>
    <x v="1"/>
    <x v="1"/>
    <x v="2"/>
    <x v="6"/>
    <n v="2"/>
    <n v="28"/>
    <n v="56"/>
    <x v="3"/>
    <x v="3"/>
  </r>
  <r>
    <n v="10882"/>
    <x v="344"/>
    <x v="3"/>
    <x v="3"/>
    <x v="1"/>
    <x v="1"/>
    <x v="7"/>
    <n v="1"/>
    <n v="77"/>
    <n v="77"/>
    <x v="0"/>
    <x v="3"/>
  </r>
  <r>
    <n v="10300"/>
    <x v="345"/>
    <x v="0"/>
    <x v="3"/>
    <x v="0"/>
    <x v="0"/>
    <x v="0"/>
    <n v="4"/>
    <n v="91"/>
    <n v="364"/>
    <x v="4"/>
    <x v="0"/>
  </r>
  <r>
    <n v="10307"/>
    <x v="345"/>
    <x v="3"/>
    <x v="3"/>
    <x v="1"/>
    <x v="0"/>
    <x v="8"/>
    <n v="1"/>
    <n v="128"/>
    <n v="128"/>
    <x v="0"/>
    <x v="3"/>
  </r>
  <r>
    <n v="10633"/>
    <x v="345"/>
    <x v="0"/>
    <x v="2"/>
    <x v="0"/>
    <x v="1"/>
    <x v="5"/>
    <n v="2"/>
    <n v="29"/>
    <n v="58"/>
    <x v="3"/>
    <x v="3"/>
  </r>
  <r>
    <n v="10240"/>
    <x v="346"/>
    <x v="1"/>
    <x v="3"/>
    <x v="1"/>
    <x v="0"/>
    <x v="1"/>
    <n v="4"/>
    <n v="101"/>
    <n v="404"/>
    <x v="4"/>
    <x v="3"/>
  </r>
  <r>
    <n v="10255"/>
    <x v="346"/>
    <x v="3"/>
    <x v="1"/>
    <x v="1"/>
    <x v="1"/>
    <x v="5"/>
    <n v="4"/>
    <n v="82"/>
    <n v="328"/>
    <x v="3"/>
    <x v="0"/>
  </r>
  <r>
    <n v="10376"/>
    <x v="346"/>
    <x v="2"/>
    <x v="0"/>
    <x v="1"/>
    <x v="1"/>
    <x v="5"/>
    <n v="3"/>
    <n v="145"/>
    <n v="435"/>
    <x v="4"/>
    <x v="3"/>
  </r>
  <r>
    <n v="10975"/>
    <x v="346"/>
    <x v="3"/>
    <x v="2"/>
    <x v="0"/>
    <x v="2"/>
    <x v="3"/>
    <n v="3"/>
    <n v="92"/>
    <n v="276"/>
    <x v="3"/>
    <x v="1"/>
  </r>
  <r>
    <n v="10902"/>
    <x v="347"/>
    <x v="1"/>
    <x v="0"/>
    <x v="0"/>
    <x v="2"/>
    <x v="6"/>
    <n v="2"/>
    <n v="129"/>
    <n v="258"/>
    <x v="2"/>
    <x v="0"/>
  </r>
  <r>
    <n v="10950"/>
    <x v="347"/>
    <x v="0"/>
    <x v="4"/>
    <x v="1"/>
    <x v="2"/>
    <x v="6"/>
    <n v="2"/>
    <n v="121"/>
    <n v="242"/>
    <x v="2"/>
    <x v="0"/>
  </r>
  <r>
    <n v="10085"/>
    <x v="348"/>
    <x v="1"/>
    <x v="1"/>
    <x v="0"/>
    <x v="1"/>
    <x v="7"/>
    <n v="4"/>
    <n v="97"/>
    <n v="388"/>
    <x v="2"/>
    <x v="0"/>
  </r>
  <r>
    <n v="10826"/>
    <x v="348"/>
    <x v="1"/>
    <x v="3"/>
    <x v="1"/>
    <x v="2"/>
    <x v="6"/>
    <n v="5"/>
    <n v="57"/>
    <n v="285"/>
    <x v="1"/>
    <x v="3"/>
  </r>
  <r>
    <n v="10959"/>
    <x v="348"/>
    <x v="3"/>
    <x v="1"/>
    <x v="0"/>
    <x v="2"/>
    <x v="3"/>
    <n v="1"/>
    <n v="91"/>
    <n v="91"/>
    <x v="1"/>
    <x v="3"/>
  </r>
  <r>
    <n v="10973"/>
    <x v="348"/>
    <x v="2"/>
    <x v="0"/>
    <x v="0"/>
    <x v="1"/>
    <x v="7"/>
    <n v="2"/>
    <n v="77"/>
    <n v="154"/>
    <x v="2"/>
    <x v="2"/>
  </r>
  <r>
    <n v="10426"/>
    <x v="349"/>
    <x v="0"/>
    <x v="2"/>
    <x v="1"/>
    <x v="2"/>
    <x v="6"/>
    <n v="5"/>
    <n v="96"/>
    <n v="480"/>
    <x v="0"/>
    <x v="1"/>
  </r>
  <r>
    <n v="11195"/>
    <x v="349"/>
    <x v="1"/>
    <x v="2"/>
    <x v="1"/>
    <x v="1"/>
    <x v="2"/>
    <n v="2"/>
    <n v="130"/>
    <n v="260"/>
    <x v="3"/>
    <x v="3"/>
  </r>
  <r>
    <n v="10225"/>
    <x v="350"/>
    <x v="0"/>
    <x v="4"/>
    <x v="0"/>
    <x v="1"/>
    <x v="7"/>
    <n v="4"/>
    <n v="148"/>
    <n v="592"/>
    <x v="4"/>
    <x v="1"/>
  </r>
  <r>
    <n v="10297"/>
    <x v="350"/>
    <x v="0"/>
    <x v="1"/>
    <x v="0"/>
    <x v="0"/>
    <x v="1"/>
    <n v="2"/>
    <n v="102"/>
    <n v="204"/>
    <x v="1"/>
    <x v="0"/>
  </r>
  <r>
    <n v="10361"/>
    <x v="350"/>
    <x v="2"/>
    <x v="3"/>
    <x v="1"/>
    <x v="1"/>
    <x v="2"/>
    <n v="5"/>
    <n v="143"/>
    <n v="715"/>
    <x v="1"/>
    <x v="3"/>
  </r>
  <r>
    <n v="10480"/>
    <x v="351"/>
    <x v="1"/>
    <x v="0"/>
    <x v="1"/>
    <x v="1"/>
    <x v="5"/>
    <n v="5"/>
    <n v="108"/>
    <n v="540"/>
    <x v="0"/>
    <x v="3"/>
  </r>
  <r>
    <n v="10739"/>
    <x v="351"/>
    <x v="3"/>
    <x v="3"/>
    <x v="0"/>
    <x v="2"/>
    <x v="4"/>
    <n v="5"/>
    <n v="97"/>
    <n v="485"/>
    <x v="0"/>
    <x v="2"/>
  </r>
  <r>
    <n v="10999"/>
    <x v="351"/>
    <x v="1"/>
    <x v="0"/>
    <x v="0"/>
    <x v="0"/>
    <x v="0"/>
    <n v="5"/>
    <n v="127"/>
    <n v="635"/>
    <x v="4"/>
    <x v="3"/>
  </r>
  <r>
    <n v="11018"/>
    <x v="351"/>
    <x v="2"/>
    <x v="2"/>
    <x v="1"/>
    <x v="0"/>
    <x v="8"/>
    <n v="2"/>
    <n v="141"/>
    <n v="282"/>
    <x v="0"/>
    <x v="1"/>
  </r>
  <r>
    <n v="10353"/>
    <x v="352"/>
    <x v="0"/>
    <x v="0"/>
    <x v="1"/>
    <x v="0"/>
    <x v="8"/>
    <n v="3"/>
    <n v="64"/>
    <n v="192"/>
    <x v="2"/>
    <x v="2"/>
  </r>
  <r>
    <n v="10819"/>
    <x v="352"/>
    <x v="1"/>
    <x v="2"/>
    <x v="0"/>
    <x v="2"/>
    <x v="6"/>
    <n v="2"/>
    <n v="94"/>
    <n v="188"/>
    <x v="3"/>
    <x v="1"/>
  </r>
  <r>
    <n v="10142"/>
    <x v="353"/>
    <x v="1"/>
    <x v="1"/>
    <x v="1"/>
    <x v="1"/>
    <x v="2"/>
    <n v="4"/>
    <n v="123"/>
    <n v="492"/>
    <x v="2"/>
    <x v="0"/>
  </r>
  <r>
    <n v="10185"/>
    <x v="353"/>
    <x v="2"/>
    <x v="2"/>
    <x v="0"/>
    <x v="2"/>
    <x v="3"/>
    <n v="3"/>
    <n v="108"/>
    <n v="324"/>
    <x v="4"/>
    <x v="1"/>
  </r>
  <r>
    <n v="10331"/>
    <x v="354"/>
    <x v="0"/>
    <x v="4"/>
    <x v="1"/>
    <x v="1"/>
    <x v="5"/>
    <n v="1"/>
    <n v="56"/>
    <n v="56"/>
    <x v="0"/>
    <x v="3"/>
  </r>
  <r>
    <n v="10888"/>
    <x v="354"/>
    <x v="2"/>
    <x v="4"/>
    <x v="1"/>
    <x v="0"/>
    <x v="0"/>
    <n v="5"/>
    <n v="131"/>
    <n v="655"/>
    <x v="0"/>
    <x v="1"/>
  </r>
  <r>
    <n v="10962"/>
    <x v="354"/>
    <x v="3"/>
    <x v="2"/>
    <x v="1"/>
    <x v="0"/>
    <x v="8"/>
    <n v="3"/>
    <n v="69"/>
    <n v="207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44129-8C07-4E40-AB61-2644E3569C44}" name="TablaDinámica8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AD4:AE7" firstHeaderRow="1" firstDataRow="1" firstDataCol="1"/>
  <pivotFields count="13">
    <pivotField showAll="0"/>
    <pivotField numFmtId="14" showAll="0">
      <items count="3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>
      <items count="10">
        <item x="0"/>
        <item x="8"/>
        <item x="5"/>
        <item x="2"/>
        <item x="4"/>
        <item x="3"/>
        <item x="6"/>
        <item x="1"/>
        <item x="7"/>
        <item t="default"/>
      </items>
    </pivotField>
    <pivotField showAll="0"/>
    <pivotField numFmtId="164" showAll="0"/>
    <pivotField dataField="1" numFmtId="164" showAll="0"/>
    <pivotField showAll="0">
      <items count="6">
        <item x="3"/>
        <item h="1" x="0"/>
        <item x="4"/>
        <item h="1" x="2"/>
        <item x="1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ales By Channel" fld="9" showDataAs="percentOfTotal" baseField="4" baseItem="0" numFmtId="10"/>
  </dataFields>
  <chartFormats count="3">
    <chartFormat chart="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B29BA-E703-44A7-9D88-9265F8103F42}" name="TablaDinámica7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Z4:AA9" firstHeaderRow="1" firstDataRow="1" firstDataCol="1"/>
  <pivotFields count="13">
    <pivotField showAll="0"/>
    <pivotField numFmtId="14" showAll="0">
      <items count="3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0">
        <item x="0"/>
        <item x="8"/>
        <item x="5"/>
        <item x="2"/>
        <item x="4"/>
        <item x="3"/>
        <item x="6"/>
        <item x="1"/>
        <item x="7"/>
        <item t="default"/>
      </items>
    </pivotField>
    <pivotField showAll="0"/>
    <pivotField numFmtId="164" showAll="0"/>
    <pivotField dataField="1" numFmtId="164" showAll="0"/>
    <pivotField showAll="0">
      <items count="6">
        <item x="3"/>
        <item h="1" x="0"/>
        <item x="4"/>
        <item h="1" x="2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 By Payment Method" fld="9" baseField="11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69687-661A-445E-B08F-3A25600D697E}" name="TablaDinámica2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E4:E5" firstHeaderRow="1" firstDataRow="1" firstDataCol="0"/>
  <pivotFields count="13">
    <pivotField dataField="1" showAll="0"/>
    <pivotField numFmtId="14" showAll="0">
      <items count="3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10">
        <item x="0"/>
        <item x="8"/>
        <item x="5"/>
        <item x="2"/>
        <item x="4"/>
        <item x="3"/>
        <item x="6"/>
        <item x="1"/>
        <item x="7"/>
        <item t="default"/>
      </items>
    </pivotField>
    <pivotField showAll="0"/>
    <pivotField numFmtId="164" showAll="0"/>
    <pivotField numFmtId="164" showAll="0"/>
    <pivotField showAll="0">
      <items count="6">
        <item x="3"/>
        <item h="1" x="0"/>
        <item x="4"/>
        <item h="1" x="2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Total Ord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2E910-76F3-4F0F-8A6E-0E0F7AE01760}" name="TablaDinámica6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V4:W14" firstHeaderRow="1" firstDataRow="1" firstDataCol="1"/>
  <pivotFields count="13">
    <pivotField showAll="0"/>
    <pivotField numFmtId="14" showAll="0">
      <items count="3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 sortType="ascending">
      <items count="10">
        <item x="7"/>
        <item x="1"/>
        <item x="6"/>
        <item x="3"/>
        <item x="4"/>
        <item x="2"/>
        <item x="5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numFmtId="164" showAll="0"/>
    <pivotField showAll="0">
      <items count="6">
        <item x="3"/>
        <item h="1" x="0"/>
        <item x="4"/>
        <item h="1" x="2"/>
        <item x="1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0">
    <i>
      <x v="7"/>
    </i>
    <i>
      <x v="2"/>
    </i>
    <i>
      <x v="4"/>
    </i>
    <i>
      <x/>
    </i>
    <i>
      <x v="1"/>
    </i>
    <i>
      <x v="8"/>
    </i>
    <i>
      <x v="5"/>
    </i>
    <i>
      <x v="6"/>
    </i>
    <i>
      <x v="3"/>
    </i>
    <i t="grand">
      <x/>
    </i>
  </rowItems>
  <colItems count="1">
    <i/>
  </colItems>
  <dataFields count="1">
    <dataField name="Top 5 Products" fld="9" baseField="6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163CD-7800-467C-9B39-78FCDFD4E424}" name="TablaDiná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B4:B5" firstHeaderRow="1" firstDataRow="1" firstDataCol="0"/>
  <pivotFields count="13">
    <pivotField showAll="0"/>
    <pivotField numFmtId="14" showAll="0">
      <items count="3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10">
        <item x="0"/>
        <item x="8"/>
        <item x="5"/>
        <item x="2"/>
        <item x="4"/>
        <item x="3"/>
        <item x="6"/>
        <item x="1"/>
        <item x="7"/>
        <item t="default"/>
      </items>
    </pivotField>
    <pivotField showAll="0"/>
    <pivotField numFmtId="164" showAll="0"/>
    <pivotField dataField="1" numFmtId="164" showAll="0"/>
    <pivotField showAll="0">
      <items count="6">
        <item x="3"/>
        <item h="1" x="0"/>
        <item x="4"/>
        <item h="1" x="2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Total Sal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2F131-5F5D-42FC-B935-70320545282C}" name="TablaDinámica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R4:S8" firstHeaderRow="1" firstDataRow="1" firstDataCol="1"/>
  <pivotFields count="13">
    <pivotField showAll="0"/>
    <pivotField numFmtId="14" showAll="0">
      <items count="3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10">
        <item x="0"/>
        <item x="8"/>
        <item x="5"/>
        <item x="2"/>
        <item x="4"/>
        <item x="3"/>
        <item x="6"/>
        <item x="1"/>
        <item x="7"/>
        <item t="default"/>
      </items>
    </pivotField>
    <pivotField showAll="0"/>
    <pivotField numFmtId="164" showAll="0"/>
    <pivotField dataField="1" numFmtId="164" showAll="0"/>
    <pivotField showAll="0">
      <items count="6">
        <item x="3"/>
        <item h="1" x="0"/>
        <item x="4"/>
        <item h="1" x="2"/>
        <item x="1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s By Category" fld="9" showDataAs="percentOfTotal" baseField="5" baseItem="0" numFmtId="9"/>
  </dataFields>
  <formats count="1">
    <format dxfId="28">
      <pivotArea outline="0" collapsedLevelsAreSubtotals="1" fieldPosition="0"/>
    </format>
  </format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042D6-9BC8-4F75-885E-AAC7CC2E0671}" name="TablaDinámica4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N4:O17" firstHeaderRow="1" firstDataRow="1" firstDataCol="1"/>
  <pivotFields count="13">
    <pivotField showAll="0"/>
    <pivotField numFmtId="14" showAll="0">
      <items count="3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10">
        <item x="0"/>
        <item x="8"/>
        <item x="5"/>
        <item x="2"/>
        <item x="4"/>
        <item x="3"/>
        <item x="6"/>
        <item x="1"/>
        <item x="7"/>
        <item t="default"/>
      </items>
    </pivotField>
    <pivotField showAll="0"/>
    <pivotField numFmtId="164" showAll="0"/>
    <pivotField dataField="1" numFmtId="164" showAll="0"/>
    <pivotField showAll="0">
      <items count="6">
        <item x="3"/>
        <item h="1" x="0"/>
        <item x="4"/>
        <item h="1" x="2"/>
        <item x="1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ales By Month" fld="9" baseField="12" baseItem="1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5C38A-5D67-47BB-A8FF-A81AAFF7BCFC}" name="TablaDinámica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K4:K5" firstHeaderRow="1" firstDataRow="1" firstDataCol="0"/>
  <pivotFields count="13">
    <pivotField showAll="0"/>
    <pivotField numFmtId="14" showAll="0">
      <items count="3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10">
        <item x="0"/>
        <item x="8"/>
        <item x="5"/>
        <item x="2"/>
        <item x="4"/>
        <item x="3"/>
        <item x="6"/>
        <item x="1"/>
        <item x="7"/>
        <item t="default"/>
      </items>
    </pivotField>
    <pivotField dataField="1" showAll="0"/>
    <pivotField numFmtId="164" showAll="0"/>
    <pivotField numFmtId="164" showAll="0"/>
    <pivotField showAll="0">
      <items count="6">
        <item x="3"/>
        <item h="1" x="0"/>
        <item x="4"/>
        <item h="1" x="2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Total Quantity Sol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844B1A4D-EBDE-483A-8129-AC5378A0D18F}" sourceName="Region">
  <pivotTables>
    <pivotTable tabId="4" name="TablaDinámica1"/>
    <pivotTable tabId="4" name="TablaDinámica2"/>
    <pivotTable tabId="4" name="TablaDinámica3"/>
    <pivotTable tabId="4" name="TablaDinámica4"/>
    <pivotTable tabId="4" name="TablaDinámica5"/>
    <pivotTable tabId="4" name="TablaDinámica6"/>
    <pivotTable tabId="4" name="TablaDinámica7"/>
    <pivotTable tabId="4" name="TablaDinámica8"/>
  </pivotTables>
  <data>
    <tabular pivotCacheId="1063245823">
      <items count="4">
        <i x="0" s="1"/>
        <i x="2" s="1"/>
        <i x="3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ty" xr10:uid="{FDE32D7F-A50B-48E1-B0E7-15F09BB83302}" sourceName="City">
  <pivotTables>
    <pivotTable tabId="4" name="TablaDinámica1"/>
    <pivotTable tabId="4" name="TablaDinámica2"/>
    <pivotTable tabId="4" name="TablaDinámica3"/>
    <pivotTable tabId="4" name="TablaDinámica4"/>
    <pivotTable tabId="4" name="TablaDinámica5"/>
    <pivotTable tabId="4" name="TablaDinámica6"/>
    <pivotTable tabId="4" name="TablaDinámica7"/>
    <pivotTable tabId="4" name="TablaDinámica8"/>
  </pivotTables>
  <data>
    <tabular pivotCacheId="1063245823">
      <items count="5">
        <i x="3" s="1"/>
        <i x="0" s="1"/>
        <i x="2" s="1"/>
        <i x="1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_Name" xr10:uid="{DADF9552-8C97-4B8C-9B26-00C282E26EE5}" sourceName="Product_Name">
  <pivotTables>
    <pivotTable tabId="4" name="TablaDinámica1"/>
    <pivotTable tabId="4" name="TablaDinámica2"/>
    <pivotTable tabId="4" name="TablaDinámica3"/>
    <pivotTable tabId="4" name="TablaDinámica4"/>
    <pivotTable tabId="4" name="TablaDinámica5"/>
    <pivotTable tabId="4" name="TablaDinámica6"/>
    <pivotTable tabId="4" name="TablaDinámica7"/>
    <pivotTable tabId="4" name="TablaDinámica8"/>
  </pivotTables>
  <data>
    <tabular pivotCacheId="1063245823">
      <items count="9">
        <i x="0" s="1"/>
        <i x="8" s="1"/>
        <i x="5" s="1"/>
        <i x="2" s="1"/>
        <i x="4" s="1"/>
        <i x="3" s="1"/>
        <i x="6" s="1"/>
        <i x="1" s="1"/>
        <i x="7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ales_Rep" xr10:uid="{67CD3AD1-4D88-478F-8F0C-967EB9685ABF}" sourceName="Sales_Rep">
  <pivotTables>
    <pivotTable tabId="4" name="TablaDinámica1"/>
    <pivotTable tabId="4" name="TablaDinámica2"/>
    <pivotTable tabId="4" name="TablaDinámica3"/>
    <pivotTable tabId="4" name="TablaDinámica4"/>
    <pivotTable tabId="4" name="TablaDinámica5"/>
    <pivotTable tabId="4" name="TablaDinámica6"/>
    <pivotTable tabId="4" name="TablaDinámica7"/>
    <pivotTable tabId="4" name="TablaDinámica8"/>
  </pivotTables>
  <data>
    <tabular pivotCacheId="1063245823">
      <items count="5">
        <i x="3" s="1"/>
        <i x="0"/>
        <i x="4" s="1"/>
        <i x="2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ales_Channel" xr10:uid="{92BC6E8E-8A0B-4B82-A525-48973A781F32}" sourceName="Sales_Channel">
  <pivotTables>
    <pivotTable tabId="4" name="TablaDinámica1"/>
    <pivotTable tabId="4" name="TablaDinámica2"/>
    <pivotTable tabId="4" name="TablaDinámica3"/>
    <pivotTable tabId="4" name="TablaDinámica4"/>
    <pivotTable tabId="4" name="TablaDinámica5"/>
    <pivotTable tabId="4" name="TablaDinámica6"/>
    <pivotTable tabId="4" name="TablaDinámica7"/>
    <pivotTable tabId="4" name="TablaDinámica8"/>
  </pivotTables>
  <data>
    <tabular pivotCacheId="1063245823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BB4A8B7A-3FE6-4C18-898E-996D27CA44E5}" cache="SegmentaciónDeDatos_Region" caption="Region" style="F_2" rowHeight="234950"/>
  <slicer name="City" xr10:uid="{1E25DB8E-44C8-415F-AFED-86F36B597B20}" cache="SegmentaciónDeDatos_City" caption="City" style="F_2" rowHeight="234950"/>
  <slicer name="Product_Name" xr10:uid="{1DA4B5F3-6F6F-4C97-8FA1-09CF362A8C9A}" cache="SegmentaciónDeDatos_Product_Name" caption="Products" style="F_2" rowHeight="234950"/>
  <slicer name="Sales_Rep" xr10:uid="{211A9B2D-D589-4518-8CB3-F1E6A9B53E65}" cache="SegmentaciónDeDatos_Sales_Rep" caption="Sales Agent" style="F_2" rowHeight="234950"/>
  <slicer name="Sales_Channel" xr10:uid="{E36A2001-3CB2-47A2-BF78-4E5908CB9C95}" cache="SegmentaciónDeDatos_Sales_Channel" caption="Channel" style="F_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928A0-3C47-4BC6-9226-E341A6F8F7D4}" name="Data" displayName="Data" ref="A1:L1201" totalsRowShown="0" headerRowDxfId="34" headerRowBorderDxfId="33" tableBorderDxfId="32">
  <autoFilter ref="A1:L1201" xr:uid="{77F928A0-3C47-4BC6-9226-E341A6F8F7D4}"/>
  <sortState xmlns:xlrd2="http://schemas.microsoft.com/office/spreadsheetml/2017/richdata2" ref="A2:L1201">
    <sortCondition ref="B1:B1201"/>
  </sortState>
  <tableColumns count="12">
    <tableColumn id="1" xr3:uid="{299C6D18-9F74-4388-A329-B9B65033D356}" name="Order_ID"/>
    <tableColumn id="2" xr3:uid="{2820BC68-7603-4A71-A274-E529038E8FEC}" name="Order_Date" dataDxfId="31"/>
    <tableColumn id="3" xr3:uid="{90117F50-7A37-4657-A28A-294EAD5F918D}" name="Region"/>
    <tableColumn id="4" xr3:uid="{31489269-DBAF-46AB-B6D8-747BB67CD4E5}" name="City"/>
    <tableColumn id="5" xr3:uid="{BEB9C062-6A63-476B-9C0D-C7F3719A9599}" name="Sales_Channel"/>
    <tableColumn id="6" xr3:uid="{BAB13B8E-BB22-49FA-8493-73F5C14D1C6A}" name="Product_Category"/>
    <tableColumn id="7" xr3:uid="{66865769-91E7-4679-A605-5BE9F3220B4F}" name="Product_Name"/>
    <tableColumn id="8" xr3:uid="{FE0E31C5-3F04-4CE2-9E57-E59F5D929476}" name="Quantity"/>
    <tableColumn id="9" xr3:uid="{6D73FE34-BF74-41FC-A616-38CD5F279CA6}" name="Unit_Price" dataDxfId="30"/>
    <tableColumn id="10" xr3:uid="{EC90E6F2-7DD0-4513-A788-23880F2C8C89}" name="Total_Sales" dataDxfId="29"/>
    <tableColumn id="11" xr3:uid="{E94492CB-3221-42C8-BC1A-BA6C4E71ECAD}" name="Sales_Rep"/>
    <tableColumn id="12" xr3:uid="{EF1F8355-30ED-4D61-B557-D6B57C7C348D}" name="Payment_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251E8F08-8F89-4514-99F8-5A580F091835}" sourceName="Order_Date">
  <pivotTables>
    <pivotTable tabId="4" name="TablaDinámica4"/>
    <pivotTable tabId="4" name="TablaDinámica1"/>
    <pivotTable tabId="4" name="TablaDinámica2"/>
    <pivotTable tabId="4" name="TablaDinámica3"/>
    <pivotTable tabId="4" name="TablaDinámica5"/>
    <pivotTable tabId="4" name="TablaDinámica6"/>
    <pivotTable tabId="4" name="TablaDinámica7"/>
    <pivotTable tabId="4" name="TablaDinámica8"/>
  </pivotTables>
  <state minimalRefreshVersion="6" lastRefreshVersion="6" pivotCacheId="1063245823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7C4DAB6D-A35B-4FC3-BED5-1CDCD153C455}" cache="NativeTimeline_Order_Date" caption="Date" level="2" selectionLevel="2" scrollPosition="2024-01-01T00:00:00" style="F_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workbookViewId="0">
      <selection activeCell="E9" sqref="E9"/>
    </sheetView>
  </sheetViews>
  <sheetFormatPr baseColWidth="10" defaultColWidth="8.88671875" defaultRowHeight="14.4" x14ac:dyDescent="0.3"/>
  <cols>
    <col min="1" max="1" width="10.44140625" customWidth="1"/>
    <col min="2" max="2" width="18.109375" bestFit="1" customWidth="1"/>
    <col min="5" max="5" width="15" customWidth="1"/>
    <col min="6" max="6" width="18.109375" customWidth="1"/>
    <col min="7" max="7" width="15.5546875" customWidth="1"/>
    <col min="8" max="8" width="10.21875" customWidth="1"/>
    <col min="9" max="9" width="11.5546875" customWidth="1"/>
    <col min="10" max="10" width="12.33203125" customWidth="1"/>
    <col min="11" max="11" width="11.33203125" customWidth="1"/>
    <col min="12" max="12" width="18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10169</v>
      </c>
      <c r="B2" s="2">
        <v>45292</v>
      </c>
      <c r="C2" t="s">
        <v>37</v>
      </c>
      <c r="D2" t="s">
        <v>13</v>
      </c>
      <c r="E2" t="s">
        <v>23</v>
      </c>
      <c r="F2" t="s">
        <v>15</v>
      </c>
      <c r="G2" t="s">
        <v>16</v>
      </c>
      <c r="H2">
        <v>3</v>
      </c>
      <c r="I2" s="3">
        <v>129</v>
      </c>
      <c r="J2" s="3">
        <v>387</v>
      </c>
      <c r="K2" t="s">
        <v>32</v>
      </c>
      <c r="L2" t="s">
        <v>18</v>
      </c>
    </row>
    <row r="3" spans="1:12" x14ac:dyDescent="0.3">
      <c r="A3">
        <v>10330</v>
      </c>
      <c r="B3" s="2">
        <v>45292</v>
      </c>
      <c r="C3" t="s">
        <v>21</v>
      </c>
      <c r="D3" t="s">
        <v>26</v>
      </c>
      <c r="E3" t="s">
        <v>14</v>
      </c>
      <c r="F3" t="s">
        <v>15</v>
      </c>
      <c r="G3" t="s">
        <v>24</v>
      </c>
      <c r="H3">
        <v>1</v>
      </c>
      <c r="I3" s="3">
        <v>105</v>
      </c>
      <c r="J3" s="3">
        <v>105</v>
      </c>
      <c r="K3" t="s">
        <v>32</v>
      </c>
      <c r="L3" t="s">
        <v>20</v>
      </c>
    </row>
    <row r="4" spans="1:12" x14ac:dyDescent="0.3">
      <c r="A4">
        <v>10350</v>
      </c>
      <c r="B4" s="2">
        <v>45292</v>
      </c>
      <c r="C4" t="s">
        <v>37</v>
      </c>
      <c r="D4" t="s">
        <v>22</v>
      </c>
      <c r="E4" t="s">
        <v>14</v>
      </c>
      <c r="F4" t="s">
        <v>15</v>
      </c>
      <c r="G4" t="s">
        <v>16</v>
      </c>
      <c r="H4">
        <v>1</v>
      </c>
      <c r="I4" s="3">
        <v>142</v>
      </c>
      <c r="J4" s="3">
        <v>142</v>
      </c>
      <c r="K4" t="s">
        <v>32</v>
      </c>
      <c r="L4" t="s">
        <v>33</v>
      </c>
    </row>
    <row r="5" spans="1:12" x14ac:dyDescent="0.3">
      <c r="A5">
        <v>10534</v>
      </c>
      <c r="B5" s="2">
        <v>45292</v>
      </c>
      <c r="C5" t="s">
        <v>21</v>
      </c>
      <c r="D5" t="s">
        <v>13</v>
      </c>
      <c r="E5" t="s">
        <v>14</v>
      </c>
      <c r="F5" t="s">
        <v>38</v>
      </c>
      <c r="G5" t="s">
        <v>43</v>
      </c>
      <c r="H5">
        <v>3</v>
      </c>
      <c r="I5" s="3">
        <v>136</v>
      </c>
      <c r="J5" s="3">
        <v>408</v>
      </c>
      <c r="K5" t="s">
        <v>17</v>
      </c>
      <c r="L5" t="s">
        <v>33</v>
      </c>
    </row>
    <row r="6" spans="1:12" x14ac:dyDescent="0.3">
      <c r="A6">
        <v>10854</v>
      </c>
      <c r="B6" s="2">
        <v>45292</v>
      </c>
      <c r="C6" t="s">
        <v>40</v>
      </c>
      <c r="D6" t="s">
        <v>42</v>
      </c>
      <c r="E6" t="s">
        <v>23</v>
      </c>
      <c r="F6" t="s">
        <v>38</v>
      </c>
      <c r="G6" t="s">
        <v>43</v>
      </c>
      <c r="H6">
        <v>3</v>
      </c>
      <c r="I6" s="3">
        <v>62</v>
      </c>
      <c r="J6" s="3">
        <v>186</v>
      </c>
      <c r="K6" t="s">
        <v>17</v>
      </c>
      <c r="L6" t="s">
        <v>33</v>
      </c>
    </row>
    <row r="7" spans="1:12" x14ac:dyDescent="0.3">
      <c r="A7">
        <v>11046</v>
      </c>
      <c r="B7" s="2">
        <v>45292</v>
      </c>
      <c r="C7" t="s">
        <v>12</v>
      </c>
      <c r="D7" t="s">
        <v>31</v>
      </c>
      <c r="E7" t="s">
        <v>14</v>
      </c>
      <c r="F7" t="s">
        <v>28</v>
      </c>
      <c r="G7" t="s">
        <v>36</v>
      </c>
      <c r="H7">
        <v>4</v>
      </c>
      <c r="I7" s="3">
        <v>56</v>
      </c>
      <c r="J7" s="3">
        <v>224</v>
      </c>
      <c r="K7" t="s">
        <v>30</v>
      </c>
      <c r="L7" t="s">
        <v>27</v>
      </c>
    </row>
    <row r="8" spans="1:12" x14ac:dyDescent="0.3">
      <c r="A8">
        <v>10653</v>
      </c>
      <c r="B8" s="2">
        <v>45293</v>
      </c>
      <c r="C8" t="s">
        <v>21</v>
      </c>
      <c r="D8" t="s">
        <v>42</v>
      </c>
      <c r="E8" t="s">
        <v>14</v>
      </c>
      <c r="F8" t="s">
        <v>38</v>
      </c>
      <c r="G8" t="s">
        <v>43</v>
      </c>
      <c r="H8">
        <v>1</v>
      </c>
      <c r="I8" s="3">
        <v>77</v>
      </c>
      <c r="J8" s="3">
        <v>77</v>
      </c>
      <c r="K8" t="s">
        <v>17</v>
      </c>
      <c r="L8" t="s">
        <v>33</v>
      </c>
    </row>
    <row r="9" spans="1:12" x14ac:dyDescent="0.3">
      <c r="A9">
        <v>10284</v>
      </c>
      <c r="B9" s="2">
        <v>45294</v>
      </c>
      <c r="C9" t="s">
        <v>12</v>
      </c>
      <c r="D9" t="s">
        <v>13</v>
      </c>
      <c r="E9" t="s">
        <v>23</v>
      </c>
      <c r="F9" t="s">
        <v>38</v>
      </c>
      <c r="G9" t="s">
        <v>43</v>
      </c>
      <c r="H9">
        <v>4</v>
      </c>
      <c r="I9" s="3">
        <v>119</v>
      </c>
      <c r="J9" s="3">
        <v>476</v>
      </c>
      <c r="K9" t="s">
        <v>25</v>
      </c>
      <c r="L9" t="s">
        <v>18</v>
      </c>
    </row>
    <row r="10" spans="1:12" x14ac:dyDescent="0.3">
      <c r="A10">
        <v>10435</v>
      </c>
      <c r="B10" s="2">
        <v>45294</v>
      </c>
      <c r="C10" t="s">
        <v>37</v>
      </c>
      <c r="D10" t="s">
        <v>42</v>
      </c>
      <c r="E10" t="s">
        <v>14</v>
      </c>
      <c r="F10" t="s">
        <v>28</v>
      </c>
      <c r="G10" t="s">
        <v>34</v>
      </c>
      <c r="H10">
        <v>5</v>
      </c>
      <c r="I10" s="3">
        <v>85</v>
      </c>
      <c r="J10" s="3">
        <v>425</v>
      </c>
      <c r="K10" t="s">
        <v>25</v>
      </c>
      <c r="L10" t="s">
        <v>20</v>
      </c>
    </row>
    <row r="11" spans="1:12" x14ac:dyDescent="0.3">
      <c r="A11">
        <v>11008</v>
      </c>
      <c r="B11" s="2">
        <v>45294</v>
      </c>
      <c r="C11" t="s">
        <v>37</v>
      </c>
      <c r="D11" t="s">
        <v>13</v>
      </c>
      <c r="E11" t="s">
        <v>23</v>
      </c>
      <c r="F11" t="s">
        <v>38</v>
      </c>
      <c r="G11" t="s">
        <v>39</v>
      </c>
      <c r="H11">
        <v>3</v>
      </c>
      <c r="I11" s="3">
        <v>47</v>
      </c>
      <c r="J11" s="3">
        <v>141</v>
      </c>
      <c r="K11" t="s">
        <v>35</v>
      </c>
      <c r="L11" t="s">
        <v>18</v>
      </c>
    </row>
    <row r="12" spans="1:12" x14ac:dyDescent="0.3">
      <c r="A12">
        <v>10223</v>
      </c>
      <c r="B12" s="2">
        <v>45295</v>
      </c>
      <c r="C12" t="s">
        <v>37</v>
      </c>
      <c r="D12" t="s">
        <v>42</v>
      </c>
      <c r="E12" t="s">
        <v>14</v>
      </c>
      <c r="F12" t="s">
        <v>28</v>
      </c>
      <c r="G12" t="s">
        <v>29</v>
      </c>
      <c r="H12">
        <v>3</v>
      </c>
      <c r="I12" s="3">
        <v>83</v>
      </c>
      <c r="J12" s="3">
        <v>249</v>
      </c>
      <c r="K12" t="s">
        <v>30</v>
      </c>
      <c r="L12" t="s">
        <v>33</v>
      </c>
    </row>
    <row r="13" spans="1:12" x14ac:dyDescent="0.3">
      <c r="A13">
        <v>10597</v>
      </c>
      <c r="B13" s="2">
        <v>45295</v>
      </c>
      <c r="C13" t="s">
        <v>40</v>
      </c>
      <c r="D13" t="s">
        <v>26</v>
      </c>
      <c r="E13" t="s">
        <v>23</v>
      </c>
      <c r="F13" t="s">
        <v>38</v>
      </c>
      <c r="G13" t="s">
        <v>43</v>
      </c>
      <c r="H13">
        <v>5</v>
      </c>
      <c r="I13" s="3">
        <v>102</v>
      </c>
      <c r="J13" s="3">
        <v>510</v>
      </c>
      <c r="K13" t="s">
        <v>30</v>
      </c>
      <c r="L13" t="s">
        <v>18</v>
      </c>
    </row>
    <row r="14" spans="1:12" x14ac:dyDescent="0.3">
      <c r="A14">
        <v>11003</v>
      </c>
      <c r="B14" s="2">
        <v>45295</v>
      </c>
      <c r="C14" t="s">
        <v>21</v>
      </c>
      <c r="D14" t="s">
        <v>22</v>
      </c>
      <c r="E14" t="s">
        <v>23</v>
      </c>
      <c r="F14" t="s">
        <v>38</v>
      </c>
      <c r="G14" t="s">
        <v>41</v>
      </c>
      <c r="H14">
        <v>5</v>
      </c>
      <c r="I14" s="3">
        <v>68</v>
      </c>
      <c r="J14" s="3">
        <v>340</v>
      </c>
      <c r="K14" t="s">
        <v>32</v>
      </c>
      <c r="L14" t="s">
        <v>18</v>
      </c>
    </row>
    <row r="15" spans="1:12" x14ac:dyDescent="0.3">
      <c r="A15">
        <v>10517</v>
      </c>
      <c r="B15" s="2">
        <v>45296</v>
      </c>
      <c r="C15" t="s">
        <v>21</v>
      </c>
      <c r="D15" t="s">
        <v>26</v>
      </c>
      <c r="E15" t="s">
        <v>14</v>
      </c>
      <c r="F15" t="s">
        <v>15</v>
      </c>
      <c r="G15" t="s">
        <v>19</v>
      </c>
      <c r="H15">
        <v>4</v>
      </c>
      <c r="I15" s="3">
        <v>96</v>
      </c>
      <c r="J15" s="3">
        <v>384</v>
      </c>
      <c r="K15" t="s">
        <v>25</v>
      </c>
      <c r="L15" t="s">
        <v>33</v>
      </c>
    </row>
    <row r="16" spans="1:12" x14ac:dyDescent="0.3">
      <c r="A16">
        <v>10808</v>
      </c>
      <c r="B16" s="2">
        <v>45296</v>
      </c>
      <c r="C16" t="s">
        <v>40</v>
      </c>
      <c r="D16" t="s">
        <v>42</v>
      </c>
      <c r="E16" t="s">
        <v>23</v>
      </c>
      <c r="F16" t="s">
        <v>15</v>
      </c>
      <c r="G16" t="s">
        <v>19</v>
      </c>
      <c r="H16">
        <v>1</v>
      </c>
      <c r="I16" s="3">
        <v>105</v>
      </c>
      <c r="J16" s="3">
        <v>105</v>
      </c>
      <c r="K16" t="s">
        <v>30</v>
      </c>
      <c r="L16" t="s">
        <v>33</v>
      </c>
    </row>
    <row r="17" spans="1:12" x14ac:dyDescent="0.3">
      <c r="A17">
        <v>10484</v>
      </c>
      <c r="B17" s="2">
        <v>45297</v>
      </c>
      <c r="C17" t="s">
        <v>12</v>
      </c>
      <c r="D17" t="s">
        <v>22</v>
      </c>
      <c r="E17" t="s">
        <v>23</v>
      </c>
      <c r="F17" t="s">
        <v>28</v>
      </c>
      <c r="G17" t="s">
        <v>36</v>
      </c>
      <c r="H17">
        <v>4</v>
      </c>
      <c r="I17" s="3">
        <v>132</v>
      </c>
      <c r="J17" s="3">
        <v>528</v>
      </c>
      <c r="K17" t="s">
        <v>32</v>
      </c>
      <c r="L17" t="s">
        <v>18</v>
      </c>
    </row>
    <row r="18" spans="1:12" x14ac:dyDescent="0.3">
      <c r="A18">
        <v>10626</v>
      </c>
      <c r="B18" s="2">
        <v>45297</v>
      </c>
      <c r="C18" t="s">
        <v>40</v>
      </c>
      <c r="D18" t="s">
        <v>31</v>
      </c>
      <c r="E18" t="s">
        <v>14</v>
      </c>
      <c r="F18" t="s">
        <v>28</v>
      </c>
      <c r="G18" t="s">
        <v>29</v>
      </c>
      <c r="H18">
        <v>2</v>
      </c>
      <c r="I18" s="3">
        <v>54</v>
      </c>
      <c r="J18" s="3">
        <v>108</v>
      </c>
      <c r="K18" t="s">
        <v>30</v>
      </c>
      <c r="L18" t="s">
        <v>27</v>
      </c>
    </row>
    <row r="19" spans="1:12" x14ac:dyDescent="0.3">
      <c r="A19">
        <v>10981</v>
      </c>
      <c r="B19" s="2">
        <v>45297</v>
      </c>
      <c r="C19" t="s">
        <v>40</v>
      </c>
      <c r="D19" t="s">
        <v>31</v>
      </c>
      <c r="E19" t="s">
        <v>14</v>
      </c>
      <c r="F19" t="s">
        <v>15</v>
      </c>
      <c r="G19" t="s">
        <v>24</v>
      </c>
      <c r="H19">
        <v>4</v>
      </c>
      <c r="I19" s="3">
        <v>114</v>
      </c>
      <c r="J19" s="3">
        <v>456</v>
      </c>
      <c r="K19" t="s">
        <v>25</v>
      </c>
      <c r="L19" t="s">
        <v>27</v>
      </c>
    </row>
    <row r="20" spans="1:12" x14ac:dyDescent="0.3">
      <c r="A20">
        <v>11103</v>
      </c>
      <c r="B20" s="2">
        <v>45297</v>
      </c>
      <c r="C20" t="s">
        <v>12</v>
      </c>
      <c r="D20" t="s">
        <v>31</v>
      </c>
      <c r="E20" t="s">
        <v>14</v>
      </c>
      <c r="F20" t="s">
        <v>28</v>
      </c>
      <c r="G20" t="s">
        <v>34</v>
      </c>
      <c r="H20">
        <v>1</v>
      </c>
      <c r="I20" s="3">
        <v>131</v>
      </c>
      <c r="J20" s="3">
        <v>131</v>
      </c>
      <c r="K20" t="s">
        <v>17</v>
      </c>
      <c r="L20" t="s">
        <v>27</v>
      </c>
    </row>
    <row r="21" spans="1:12" x14ac:dyDescent="0.3">
      <c r="A21">
        <v>10432</v>
      </c>
      <c r="B21" s="2">
        <v>45298</v>
      </c>
      <c r="C21" t="s">
        <v>37</v>
      </c>
      <c r="D21" t="s">
        <v>13</v>
      </c>
      <c r="E21" t="s">
        <v>23</v>
      </c>
      <c r="F21" t="s">
        <v>38</v>
      </c>
      <c r="G21" t="s">
        <v>39</v>
      </c>
      <c r="H21">
        <v>3</v>
      </c>
      <c r="I21" s="3">
        <v>33</v>
      </c>
      <c r="J21" s="3">
        <v>99</v>
      </c>
      <c r="K21" t="s">
        <v>32</v>
      </c>
      <c r="L21" t="s">
        <v>33</v>
      </c>
    </row>
    <row r="22" spans="1:12" x14ac:dyDescent="0.3">
      <c r="A22">
        <v>10099</v>
      </c>
      <c r="B22" s="2">
        <v>45299</v>
      </c>
      <c r="C22" t="s">
        <v>12</v>
      </c>
      <c r="D22" t="s">
        <v>42</v>
      </c>
      <c r="E22" t="s">
        <v>14</v>
      </c>
      <c r="F22" t="s">
        <v>28</v>
      </c>
      <c r="G22" t="s">
        <v>29</v>
      </c>
      <c r="H22">
        <v>1</v>
      </c>
      <c r="I22" s="3">
        <v>136</v>
      </c>
      <c r="J22" s="3">
        <v>136</v>
      </c>
      <c r="K22" t="s">
        <v>25</v>
      </c>
      <c r="L22" t="s">
        <v>27</v>
      </c>
    </row>
    <row r="23" spans="1:12" x14ac:dyDescent="0.3">
      <c r="A23">
        <v>10660</v>
      </c>
      <c r="B23" s="2">
        <v>45299</v>
      </c>
      <c r="C23" t="s">
        <v>12</v>
      </c>
      <c r="D23" t="s">
        <v>31</v>
      </c>
      <c r="E23" t="s">
        <v>23</v>
      </c>
      <c r="F23" t="s">
        <v>15</v>
      </c>
      <c r="G23" t="s">
        <v>16</v>
      </c>
      <c r="H23">
        <v>2</v>
      </c>
      <c r="I23" s="3">
        <v>53</v>
      </c>
      <c r="J23" s="3">
        <v>106</v>
      </c>
      <c r="K23" t="s">
        <v>25</v>
      </c>
      <c r="L23" t="s">
        <v>27</v>
      </c>
    </row>
    <row r="24" spans="1:12" x14ac:dyDescent="0.3">
      <c r="A24">
        <v>11074</v>
      </c>
      <c r="B24" s="2">
        <v>45299</v>
      </c>
      <c r="C24" t="s">
        <v>12</v>
      </c>
      <c r="D24" t="s">
        <v>26</v>
      </c>
      <c r="E24" t="s">
        <v>14</v>
      </c>
      <c r="F24" t="s">
        <v>28</v>
      </c>
      <c r="G24" t="s">
        <v>36</v>
      </c>
      <c r="H24">
        <v>4</v>
      </c>
      <c r="I24" s="3">
        <v>44</v>
      </c>
      <c r="J24" s="3">
        <v>176</v>
      </c>
      <c r="K24" t="s">
        <v>30</v>
      </c>
      <c r="L24" t="s">
        <v>18</v>
      </c>
    </row>
    <row r="25" spans="1:12" x14ac:dyDescent="0.3">
      <c r="A25">
        <v>10445</v>
      </c>
      <c r="B25" s="2">
        <v>45300</v>
      </c>
      <c r="C25" t="s">
        <v>21</v>
      </c>
      <c r="D25" t="s">
        <v>31</v>
      </c>
      <c r="E25" t="s">
        <v>14</v>
      </c>
      <c r="F25" t="s">
        <v>15</v>
      </c>
      <c r="G25" t="s">
        <v>19</v>
      </c>
      <c r="H25">
        <v>4</v>
      </c>
      <c r="I25" s="3">
        <v>100</v>
      </c>
      <c r="J25" s="3">
        <v>400</v>
      </c>
      <c r="K25" t="s">
        <v>17</v>
      </c>
      <c r="L25" t="s">
        <v>18</v>
      </c>
    </row>
    <row r="26" spans="1:12" x14ac:dyDescent="0.3">
      <c r="A26">
        <v>10457</v>
      </c>
      <c r="B26" s="2">
        <v>45301</v>
      </c>
      <c r="C26" t="s">
        <v>40</v>
      </c>
      <c r="D26" t="s">
        <v>22</v>
      </c>
      <c r="E26" t="s">
        <v>23</v>
      </c>
      <c r="F26" t="s">
        <v>38</v>
      </c>
      <c r="G26" t="s">
        <v>43</v>
      </c>
      <c r="H26">
        <v>1</v>
      </c>
      <c r="I26" s="3">
        <v>39</v>
      </c>
      <c r="J26" s="3">
        <v>39</v>
      </c>
      <c r="K26" t="s">
        <v>17</v>
      </c>
      <c r="L26" t="s">
        <v>20</v>
      </c>
    </row>
    <row r="27" spans="1:12" x14ac:dyDescent="0.3">
      <c r="A27">
        <v>10566</v>
      </c>
      <c r="B27" s="2">
        <v>45301</v>
      </c>
      <c r="C27" t="s">
        <v>37</v>
      </c>
      <c r="D27" t="s">
        <v>26</v>
      </c>
      <c r="E27" t="s">
        <v>23</v>
      </c>
      <c r="F27" t="s">
        <v>38</v>
      </c>
      <c r="G27" t="s">
        <v>39</v>
      </c>
      <c r="H27">
        <v>4</v>
      </c>
      <c r="I27" s="3">
        <v>60</v>
      </c>
      <c r="J27" s="3">
        <v>240</v>
      </c>
      <c r="K27" t="s">
        <v>35</v>
      </c>
      <c r="L27" t="s">
        <v>20</v>
      </c>
    </row>
    <row r="28" spans="1:12" x14ac:dyDescent="0.3">
      <c r="A28">
        <v>10651</v>
      </c>
      <c r="B28" s="2">
        <v>45301</v>
      </c>
      <c r="C28" t="s">
        <v>21</v>
      </c>
      <c r="D28" t="s">
        <v>13</v>
      </c>
      <c r="E28" t="s">
        <v>14</v>
      </c>
      <c r="F28" t="s">
        <v>15</v>
      </c>
      <c r="G28" t="s">
        <v>24</v>
      </c>
      <c r="H28">
        <v>3</v>
      </c>
      <c r="I28" s="3">
        <v>134</v>
      </c>
      <c r="J28" s="3">
        <v>402</v>
      </c>
      <c r="K28" t="s">
        <v>25</v>
      </c>
      <c r="L28" t="s">
        <v>27</v>
      </c>
    </row>
    <row r="29" spans="1:12" x14ac:dyDescent="0.3">
      <c r="A29">
        <v>10844</v>
      </c>
      <c r="B29" s="2">
        <v>45301</v>
      </c>
      <c r="C29" t="s">
        <v>37</v>
      </c>
      <c r="D29" t="s">
        <v>13</v>
      </c>
      <c r="E29" t="s">
        <v>14</v>
      </c>
      <c r="F29" t="s">
        <v>28</v>
      </c>
      <c r="G29" t="s">
        <v>36</v>
      </c>
      <c r="H29">
        <v>5</v>
      </c>
      <c r="I29" s="3">
        <v>66</v>
      </c>
      <c r="J29" s="3">
        <v>330</v>
      </c>
      <c r="K29" t="s">
        <v>17</v>
      </c>
      <c r="L29" t="s">
        <v>27</v>
      </c>
    </row>
    <row r="30" spans="1:12" x14ac:dyDescent="0.3">
      <c r="A30">
        <v>10861</v>
      </c>
      <c r="B30" s="2">
        <v>45302</v>
      </c>
      <c r="C30" t="s">
        <v>37</v>
      </c>
      <c r="D30" t="s">
        <v>26</v>
      </c>
      <c r="E30" t="s">
        <v>14</v>
      </c>
      <c r="F30" t="s">
        <v>28</v>
      </c>
      <c r="G30" t="s">
        <v>29</v>
      </c>
      <c r="H30">
        <v>1</v>
      </c>
      <c r="I30" s="3">
        <v>76</v>
      </c>
      <c r="J30" s="3">
        <v>76</v>
      </c>
      <c r="K30" t="s">
        <v>25</v>
      </c>
      <c r="L30" t="s">
        <v>33</v>
      </c>
    </row>
    <row r="31" spans="1:12" x14ac:dyDescent="0.3">
      <c r="A31">
        <v>10931</v>
      </c>
      <c r="B31" s="2">
        <v>45302</v>
      </c>
      <c r="C31" t="s">
        <v>40</v>
      </c>
      <c r="D31" t="s">
        <v>26</v>
      </c>
      <c r="E31" t="s">
        <v>14</v>
      </c>
      <c r="F31" t="s">
        <v>15</v>
      </c>
      <c r="G31" t="s">
        <v>24</v>
      </c>
      <c r="H31">
        <v>1</v>
      </c>
      <c r="I31" s="3">
        <v>79</v>
      </c>
      <c r="J31" s="3">
        <v>79</v>
      </c>
      <c r="K31" t="s">
        <v>30</v>
      </c>
      <c r="L31" t="s">
        <v>20</v>
      </c>
    </row>
    <row r="32" spans="1:12" x14ac:dyDescent="0.3">
      <c r="A32">
        <v>10234</v>
      </c>
      <c r="B32" s="2">
        <v>45303</v>
      </c>
      <c r="C32" t="s">
        <v>37</v>
      </c>
      <c r="D32" t="s">
        <v>42</v>
      </c>
      <c r="E32" t="s">
        <v>23</v>
      </c>
      <c r="F32" t="s">
        <v>15</v>
      </c>
      <c r="G32" t="s">
        <v>16</v>
      </c>
      <c r="H32">
        <v>2</v>
      </c>
      <c r="I32" s="3">
        <v>20</v>
      </c>
      <c r="J32" s="3">
        <v>40</v>
      </c>
      <c r="K32" t="s">
        <v>17</v>
      </c>
      <c r="L32" t="s">
        <v>27</v>
      </c>
    </row>
    <row r="33" spans="1:12" x14ac:dyDescent="0.3">
      <c r="A33">
        <v>10351</v>
      </c>
      <c r="B33" s="2">
        <v>45303</v>
      </c>
      <c r="C33" t="s">
        <v>12</v>
      </c>
      <c r="D33" t="s">
        <v>22</v>
      </c>
      <c r="E33" t="s">
        <v>14</v>
      </c>
      <c r="F33" t="s">
        <v>15</v>
      </c>
      <c r="G33" t="s">
        <v>16</v>
      </c>
      <c r="H33">
        <v>3</v>
      </c>
      <c r="I33" s="3">
        <v>35</v>
      </c>
      <c r="J33" s="3">
        <v>105</v>
      </c>
      <c r="K33" t="s">
        <v>25</v>
      </c>
      <c r="L33" t="s">
        <v>33</v>
      </c>
    </row>
    <row r="34" spans="1:12" x14ac:dyDescent="0.3">
      <c r="A34">
        <v>10400</v>
      </c>
      <c r="B34" s="2">
        <v>45303</v>
      </c>
      <c r="C34" t="s">
        <v>12</v>
      </c>
      <c r="D34" t="s">
        <v>31</v>
      </c>
      <c r="E34" t="s">
        <v>23</v>
      </c>
      <c r="F34" t="s">
        <v>28</v>
      </c>
      <c r="G34" t="s">
        <v>34</v>
      </c>
      <c r="H34">
        <v>2</v>
      </c>
      <c r="I34" s="3">
        <v>74</v>
      </c>
      <c r="J34" s="3">
        <v>148</v>
      </c>
      <c r="K34" t="s">
        <v>25</v>
      </c>
      <c r="L34" t="s">
        <v>27</v>
      </c>
    </row>
    <row r="35" spans="1:12" x14ac:dyDescent="0.3">
      <c r="A35">
        <v>10467</v>
      </c>
      <c r="B35" s="2">
        <v>45303</v>
      </c>
      <c r="C35" t="s">
        <v>12</v>
      </c>
      <c r="D35" t="s">
        <v>31</v>
      </c>
      <c r="E35" t="s">
        <v>14</v>
      </c>
      <c r="F35" t="s">
        <v>28</v>
      </c>
      <c r="G35" t="s">
        <v>36</v>
      </c>
      <c r="H35">
        <v>2</v>
      </c>
      <c r="I35" s="3">
        <v>125</v>
      </c>
      <c r="J35" s="3">
        <v>250</v>
      </c>
      <c r="K35" t="s">
        <v>17</v>
      </c>
      <c r="L35" t="s">
        <v>20</v>
      </c>
    </row>
    <row r="36" spans="1:12" x14ac:dyDescent="0.3">
      <c r="A36">
        <v>10886</v>
      </c>
      <c r="B36" s="2">
        <v>45303</v>
      </c>
      <c r="C36" t="s">
        <v>12</v>
      </c>
      <c r="D36" t="s">
        <v>26</v>
      </c>
      <c r="E36" t="s">
        <v>14</v>
      </c>
      <c r="F36" t="s">
        <v>15</v>
      </c>
      <c r="G36" t="s">
        <v>16</v>
      </c>
      <c r="H36">
        <v>2</v>
      </c>
      <c r="I36" s="3">
        <v>70</v>
      </c>
      <c r="J36" s="3">
        <v>140</v>
      </c>
      <c r="K36" t="s">
        <v>25</v>
      </c>
      <c r="L36" t="s">
        <v>20</v>
      </c>
    </row>
    <row r="37" spans="1:12" x14ac:dyDescent="0.3">
      <c r="A37">
        <v>10982</v>
      </c>
      <c r="B37" s="2">
        <v>45303</v>
      </c>
      <c r="C37" t="s">
        <v>21</v>
      </c>
      <c r="D37" t="s">
        <v>26</v>
      </c>
      <c r="E37" t="s">
        <v>14</v>
      </c>
      <c r="F37" t="s">
        <v>15</v>
      </c>
      <c r="G37" t="s">
        <v>24</v>
      </c>
      <c r="H37">
        <v>5</v>
      </c>
      <c r="I37" s="3">
        <v>77</v>
      </c>
      <c r="J37" s="3">
        <v>385</v>
      </c>
      <c r="K37" t="s">
        <v>17</v>
      </c>
      <c r="L37" t="s">
        <v>20</v>
      </c>
    </row>
    <row r="38" spans="1:12" x14ac:dyDescent="0.3">
      <c r="A38">
        <v>11029</v>
      </c>
      <c r="B38" s="2">
        <v>45303</v>
      </c>
      <c r="C38" t="s">
        <v>12</v>
      </c>
      <c r="D38" t="s">
        <v>22</v>
      </c>
      <c r="E38" t="s">
        <v>23</v>
      </c>
      <c r="F38" t="s">
        <v>28</v>
      </c>
      <c r="G38" t="s">
        <v>29</v>
      </c>
      <c r="H38">
        <v>4</v>
      </c>
      <c r="I38" s="3">
        <v>148</v>
      </c>
      <c r="J38" s="3">
        <v>592</v>
      </c>
      <c r="K38" t="s">
        <v>32</v>
      </c>
      <c r="L38" t="s">
        <v>33</v>
      </c>
    </row>
    <row r="39" spans="1:12" x14ac:dyDescent="0.3">
      <c r="A39">
        <v>10440</v>
      </c>
      <c r="B39" s="2">
        <v>45304</v>
      </c>
      <c r="C39" t="s">
        <v>37</v>
      </c>
      <c r="D39" t="s">
        <v>22</v>
      </c>
      <c r="E39" t="s">
        <v>23</v>
      </c>
      <c r="F39" t="s">
        <v>38</v>
      </c>
      <c r="G39" t="s">
        <v>39</v>
      </c>
      <c r="H39">
        <v>5</v>
      </c>
      <c r="I39" s="3">
        <v>92</v>
      </c>
      <c r="J39" s="3">
        <v>460</v>
      </c>
      <c r="K39" t="s">
        <v>30</v>
      </c>
      <c r="L39" t="s">
        <v>18</v>
      </c>
    </row>
    <row r="40" spans="1:12" x14ac:dyDescent="0.3">
      <c r="A40">
        <v>10710</v>
      </c>
      <c r="B40" s="2">
        <v>45305</v>
      </c>
      <c r="C40" t="s">
        <v>40</v>
      </c>
      <c r="D40" t="s">
        <v>13</v>
      </c>
      <c r="E40" t="s">
        <v>23</v>
      </c>
      <c r="F40" t="s">
        <v>38</v>
      </c>
      <c r="G40" t="s">
        <v>43</v>
      </c>
      <c r="H40">
        <v>4</v>
      </c>
      <c r="I40" s="3">
        <v>77</v>
      </c>
      <c r="J40" s="3">
        <v>308</v>
      </c>
      <c r="K40" t="s">
        <v>35</v>
      </c>
      <c r="L40" t="s">
        <v>27</v>
      </c>
    </row>
    <row r="41" spans="1:12" x14ac:dyDescent="0.3">
      <c r="A41">
        <v>11058</v>
      </c>
      <c r="B41" s="2">
        <v>45305</v>
      </c>
      <c r="C41" t="s">
        <v>21</v>
      </c>
      <c r="D41" t="s">
        <v>26</v>
      </c>
      <c r="E41" t="s">
        <v>14</v>
      </c>
      <c r="F41" t="s">
        <v>15</v>
      </c>
      <c r="G41" t="s">
        <v>24</v>
      </c>
      <c r="H41">
        <v>2</v>
      </c>
      <c r="I41" s="3">
        <v>116</v>
      </c>
      <c r="J41" s="3">
        <v>232</v>
      </c>
      <c r="K41" t="s">
        <v>25</v>
      </c>
      <c r="L41" t="s">
        <v>18</v>
      </c>
    </row>
    <row r="42" spans="1:12" x14ac:dyDescent="0.3">
      <c r="A42">
        <v>11099</v>
      </c>
      <c r="B42" s="2">
        <v>45305</v>
      </c>
      <c r="C42" t="s">
        <v>12</v>
      </c>
      <c r="D42" t="s">
        <v>26</v>
      </c>
      <c r="E42" t="s">
        <v>23</v>
      </c>
      <c r="F42" t="s">
        <v>28</v>
      </c>
      <c r="G42" t="s">
        <v>29</v>
      </c>
      <c r="H42">
        <v>1</v>
      </c>
      <c r="I42" s="3">
        <v>23</v>
      </c>
      <c r="J42" s="3">
        <v>23</v>
      </c>
      <c r="K42" t="s">
        <v>35</v>
      </c>
      <c r="L42" t="s">
        <v>20</v>
      </c>
    </row>
    <row r="43" spans="1:12" x14ac:dyDescent="0.3">
      <c r="A43">
        <v>10069</v>
      </c>
      <c r="B43" s="2">
        <v>45306</v>
      </c>
      <c r="C43" t="s">
        <v>21</v>
      </c>
      <c r="D43" t="s">
        <v>26</v>
      </c>
      <c r="E43" t="s">
        <v>14</v>
      </c>
      <c r="F43" t="s">
        <v>15</v>
      </c>
      <c r="G43" t="s">
        <v>24</v>
      </c>
      <c r="H43">
        <v>4</v>
      </c>
      <c r="I43" s="3">
        <v>106</v>
      </c>
      <c r="J43" s="3">
        <v>424</v>
      </c>
      <c r="K43" t="s">
        <v>30</v>
      </c>
      <c r="L43" t="s">
        <v>20</v>
      </c>
    </row>
    <row r="44" spans="1:12" x14ac:dyDescent="0.3">
      <c r="A44">
        <v>10092</v>
      </c>
      <c r="B44" s="2">
        <v>45306</v>
      </c>
      <c r="C44" t="s">
        <v>12</v>
      </c>
      <c r="D44" t="s">
        <v>13</v>
      </c>
      <c r="E44" t="s">
        <v>23</v>
      </c>
      <c r="F44" t="s">
        <v>38</v>
      </c>
      <c r="G44" t="s">
        <v>39</v>
      </c>
      <c r="H44">
        <v>4</v>
      </c>
      <c r="I44" s="3">
        <v>51</v>
      </c>
      <c r="J44" s="3">
        <v>204</v>
      </c>
      <c r="K44" t="s">
        <v>17</v>
      </c>
      <c r="L44" t="s">
        <v>18</v>
      </c>
    </row>
    <row r="45" spans="1:12" x14ac:dyDescent="0.3">
      <c r="A45">
        <v>10776</v>
      </c>
      <c r="B45" s="2">
        <v>45306</v>
      </c>
      <c r="C45" t="s">
        <v>37</v>
      </c>
      <c r="D45" t="s">
        <v>26</v>
      </c>
      <c r="E45" t="s">
        <v>14</v>
      </c>
      <c r="F45" t="s">
        <v>38</v>
      </c>
      <c r="G45" t="s">
        <v>41</v>
      </c>
      <c r="H45">
        <v>4</v>
      </c>
      <c r="I45" s="3">
        <v>57</v>
      </c>
      <c r="J45" s="3">
        <v>228</v>
      </c>
      <c r="K45" t="s">
        <v>17</v>
      </c>
      <c r="L45" t="s">
        <v>27</v>
      </c>
    </row>
    <row r="46" spans="1:12" x14ac:dyDescent="0.3">
      <c r="A46">
        <v>10869</v>
      </c>
      <c r="B46" s="2">
        <v>45306</v>
      </c>
      <c r="C46" t="s">
        <v>21</v>
      </c>
      <c r="D46" t="s">
        <v>42</v>
      </c>
      <c r="E46" t="s">
        <v>14</v>
      </c>
      <c r="F46" t="s">
        <v>38</v>
      </c>
      <c r="G46" t="s">
        <v>39</v>
      </c>
      <c r="H46">
        <v>1</v>
      </c>
      <c r="I46" s="3">
        <v>44</v>
      </c>
      <c r="J46" s="3">
        <v>44</v>
      </c>
      <c r="K46" t="s">
        <v>17</v>
      </c>
      <c r="L46" t="s">
        <v>33</v>
      </c>
    </row>
    <row r="47" spans="1:12" x14ac:dyDescent="0.3">
      <c r="A47">
        <v>10321</v>
      </c>
      <c r="B47" s="2">
        <v>45307</v>
      </c>
      <c r="C47" t="s">
        <v>37</v>
      </c>
      <c r="D47" t="s">
        <v>42</v>
      </c>
      <c r="E47" t="s">
        <v>23</v>
      </c>
      <c r="F47" t="s">
        <v>28</v>
      </c>
      <c r="G47" t="s">
        <v>36</v>
      </c>
      <c r="H47">
        <v>3</v>
      </c>
      <c r="I47" s="3">
        <v>50</v>
      </c>
      <c r="J47" s="3">
        <v>150</v>
      </c>
      <c r="K47" t="s">
        <v>17</v>
      </c>
      <c r="L47" t="s">
        <v>18</v>
      </c>
    </row>
    <row r="48" spans="1:12" x14ac:dyDescent="0.3">
      <c r="A48">
        <v>10346</v>
      </c>
      <c r="B48" s="2">
        <v>45307</v>
      </c>
      <c r="C48" t="s">
        <v>37</v>
      </c>
      <c r="D48" t="s">
        <v>31</v>
      </c>
      <c r="E48" t="s">
        <v>23</v>
      </c>
      <c r="F48" t="s">
        <v>28</v>
      </c>
      <c r="G48" t="s">
        <v>34</v>
      </c>
      <c r="H48">
        <v>3</v>
      </c>
      <c r="I48" s="3">
        <v>76</v>
      </c>
      <c r="J48" s="3">
        <v>228</v>
      </c>
      <c r="K48" t="s">
        <v>17</v>
      </c>
      <c r="L48" t="s">
        <v>33</v>
      </c>
    </row>
    <row r="49" spans="1:12" x14ac:dyDescent="0.3">
      <c r="A49">
        <v>10823</v>
      </c>
      <c r="B49" s="2">
        <v>45307</v>
      </c>
      <c r="C49" t="s">
        <v>21</v>
      </c>
      <c r="D49" t="s">
        <v>13</v>
      </c>
      <c r="E49" t="s">
        <v>14</v>
      </c>
      <c r="F49" t="s">
        <v>38</v>
      </c>
      <c r="G49" t="s">
        <v>39</v>
      </c>
      <c r="H49">
        <v>5</v>
      </c>
      <c r="I49" s="3">
        <v>112</v>
      </c>
      <c r="J49" s="3">
        <v>560</v>
      </c>
      <c r="K49" t="s">
        <v>17</v>
      </c>
      <c r="L49" t="s">
        <v>18</v>
      </c>
    </row>
    <row r="50" spans="1:12" x14ac:dyDescent="0.3">
      <c r="A50">
        <v>11190</v>
      </c>
      <c r="B50" s="2">
        <v>45308</v>
      </c>
      <c r="C50" t="s">
        <v>37</v>
      </c>
      <c r="D50" t="s">
        <v>42</v>
      </c>
      <c r="E50" t="s">
        <v>23</v>
      </c>
      <c r="F50" t="s">
        <v>15</v>
      </c>
      <c r="G50" t="s">
        <v>19</v>
      </c>
      <c r="H50">
        <v>3</v>
      </c>
      <c r="I50" s="3">
        <v>27</v>
      </c>
      <c r="J50" s="3">
        <v>81</v>
      </c>
      <c r="K50" t="s">
        <v>32</v>
      </c>
      <c r="L50" t="s">
        <v>33</v>
      </c>
    </row>
    <row r="51" spans="1:12" x14ac:dyDescent="0.3">
      <c r="A51">
        <v>10369</v>
      </c>
      <c r="B51" s="2">
        <v>45309</v>
      </c>
      <c r="C51" t="s">
        <v>12</v>
      </c>
      <c r="D51" t="s">
        <v>31</v>
      </c>
      <c r="E51" t="s">
        <v>23</v>
      </c>
      <c r="F51" t="s">
        <v>38</v>
      </c>
      <c r="G51" t="s">
        <v>39</v>
      </c>
      <c r="H51">
        <v>1</v>
      </c>
      <c r="I51" s="3">
        <v>121</v>
      </c>
      <c r="J51" s="3">
        <v>121</v>
      </c>
      <c r="K51" t="s">
        <v>32</v>
      </c>
      <c r="L51" t="s">
        <v>20</v>
      </c>
    </row>
    <row r="52" spans="1:12" x14ac:dyDescent="0.3">
      <c r="A52">
        <v>10946</v>
      </c>
      <c r="B52" s="2">
        <v>45309</v>
      </c>
      <c r="C52" t="s">
        <v>37</v>
      </c>
      <c r="D52" t="s">
        <v>31</v>
      </c>
      <c r="E52" t="s">
        <v>14</v>
      </c>
      <c r="F52" t="s">
        <v>15</v>
      </c>
      <c r="G52" t="s">
        <v>16</v>
      </c>
      <c r="H52">
        <v>2</v>
      </c>
      <c r="I52" s="3">
        <v>142</v>
      </c>
      <c r="J52" s="3">
        <v>284</v>
      </c>
      <c r="K52" t="s">
        <v>35</v>
      </c>
      <c r="L52" t="s">
        <v>27</v>
      </c>
    </row>
    <row r="53" spans="1:12" x14ac:dyDescent="0.3">
      <c r="A53">
        <v>11184</v>
      </c>
      <c r="B53" s="2">
        <v>45309</v>
      </c>
      <c r="C53" t="s">
        <v>12</v>
      </c>
      <c r="D53" t="s">
        <v>31</v>
      </c>
      <c r="E53" t="s">
        <v>23</v>
      </c>
      <c r="F53" t="s">
        <v>15</v>
      </c>
      <c r="G53" t="s">
        <v>24</v>
      </c>
      <c r="H53">
        <v>1</v>
      </c>
      <c r="I53" s="3">
        <v>72</v>
      </c>
      <c r="J53" s="3">
        <v>72</v>
      </c>
      <c r="K53" t="s">
        <v>30</v>
      </c>
      <c r="L53" t="s">
        <v>18</v>
      </c>
    </row>
    <row r="54" spans="1:12" x14ac:dyDescent="0.3">
      <c r="A54">
        <v>10989</v>
      </c>
      <c r="B54" s="2">
        <v>45310</v>
      </c>
      <c r="C54" t="s">
        <v>12</v>
      </c>
      <c r="D54" t="s">
        <v>13</v>
      </c>
      <c r="E54" t="s">
        <v>23</v>
      </c>
      <c r="F54" t="s">
        <v>15</v>
      </c>
      <c r="G54" t="s">
        <v>16</v>
      </c>
      <c r="H54">
        <v>1</v>
      </c>
      <c r="I54" s="3">
        <v>80</v>
      </c>
      <c r="J54" s="3">
        <v>80</v>
      </c>
      <c r="K54" t="s">
        <v>32</v>
      </c>
      <c r="L54" t="s">
        <v>20</v>
      </c>
    </row>
    <row r="55" spans="1:12" x14ac:dyDescent="0.3">
      <c r="A55">
        <v>11090</v>
      </c>
      <c r="B55" s="2">
        <v>45310</v>
      </c>
      <c r="C55" t="s">
        <v>12</v>
      </c>
      <c r="D55" t="s">
        <v>13</v>
      </c>
      <c r="E55" t="s">
        <v>23</v>
      </c>
      <c r="F55" t="s">
        <v>15</v>
      </c>
      <c r="G55" t="s">
        <v>19</v>
      </c>
      <c r="H55">
        <v>5</v>
      </c>
      <c r="I55" s="3">
        <v>44</v>
      </c>
      <c r="J55" s="3">
        <v>220</v>
      </c>
      <c r="K55" t="s">
        <v>17</v>
      </c>
      <c r="L55" t="s">
        <v>20</v>
      </c>
    </row>
    <row r="56" spans="1:12" x14ac:dyDescent="0.3">
      <c r="A56">
        <v>10042</v>
      </c>
      <c r="B56" s="2">
        <v>45311</v>
      </c>
      <c r="C56" t="s">
        <v>40</v>
      </c>
      <c r="D56" t="s">
        <v>22</v>
      </c>
      <c r="E56" t="s">
        <v>23</v>
      </c>
      <c r="F56" t="s">
        <v>38</v>
      </c>
      <c r="G56" t="s">
        <v>41</v>
      </c>
      <c r="H56">
        <v>5</v>
      </c>
      <c r="I56" s="3">
        <v>87</v>
      </c>
      <c r="J56" s="3">
        <v>435</v>
      </c>
      <c r="K56" t="s">
        <v>35</v>
      </c>
      <c r="L56" t="s">
        <v>33</v>
      </c>
    </row>
    <row r="57" spans="1:12" x14ac:dyDescent="0.3">
      <c r="A57">
        <v>10219</v>
      </c>
      <c r="B57" s="2">
        <v>45311</v>
      </c>
      <c r="C57" t="s">
        <v>40</v>
      </c>
      <c r="D57" t="s">
        <v>26</v>
      </c>
      <c r="E57" t="s">
        <v>14</v>
      </c>
      <c r="F57" t="s">
        <v>38</v>
      </c>
      <c r="G57" t="s">
        <v>39</v>
      </c>
      <c r="H57">
        <v>2</v>
      </c>
      <c r="I57" s="3">
        <v>94</v>
      </c>
      <c r="J57" s="3">
        <v>188</v>
      </c>
      <c r="K57" t="s">
        <v>35</v>
      </c>
      <c r="L57" t="s">
        <v>33</v>
      </c>
    </row>
    <row r="58" spans="1:12" x14ac:dyDescent="0.3">
      <c r="A58">
        <v>10396</v>
      </c>
      <c r="B58" s="2">
        <v>45311</v>
      </c>
      <c r="C58" t="s">
        <v>12</v>
      </c>
      <c r="D58" t="s">
        <v>26</v>
      </c>
      <c r="E58" t="s">
        <v>14</v>
      </c>
      <c r="F58" t="s">
        <v>38</v>
      </c>
      <c r="G58" t="s">
        <v>39</v>
      </c>
      <c r="H58">
        <v>4</v>
      </c>
      <c r="I58" s="3">
        <v>21</v>
      </c>
      <c r="J58" s="3">
        <v>84</v>
      </c>
      <c r="K58" t="s">
        <v>35</v>
      </c>
      <c r="L58" t="s">
        <v>20</v>
      </c>
    </row>
    <row r="59" spans="1:12" x14ac:dyDescent="0.3">
      <c r="A59">
        <v>11019</v>
      </c>
      <c r="B59" s="2">
        <v>45311</v>
      </c>
      <c r="C59" t="s">
        <v>37</v>
      </c>
      <c r="D59" t="s">
        <v>13</v>
      </c>
      <c r="E59" t="s">
        <v>14</v>
      </c>
      <c r="F59" t="s">
        <v>28</v>
      </c>
      <c r="G59" t="s">
        <v>34</v>
      </c>
      <c r="H59">
        <v>2</v>
      </c>
      <c r="I59" s="3">
        <v>122</v>
      </c>
      <c r="J59" s="3">
        <v>244</v>
      </c>
      <c r="K59" t="s">
        <v>30</v>
      </c>
      <c r="L59" t="s">
        <v>18</v>
      </c>
    </row>
    <row r="60" spans="1:12" x14ac:dyDescent="0.3">
      <c r="A60">
        <v>10462</v>
      </c>
      <c r="B60" s="2">
        <v>45312</v>
      </c>
      <c r="C60" t="s">
        <v>37</v>
      </c>
      <c r="D60" t="s">
        <v>31</v>
      </c>
      <c r="E60" t="s">
        <v>23</v>
      </c>
      <c r="F60" t="s">
        <v>38</v>
      </c>
      <c r="G60" t="s">
        <v>39</v>
      </c>
      <c r="H60">
        <v>4</v>
      </c>
      <c r="I60" s="3">
        <v>31</v>
      </c>
      <c r="J60" s="3">
        <v>124</v>
      </c>
      <c r="K60" t="s">
        <v>35</v>
      </c>
      <c r="L60" t="s">
        <v>20</v>
      </c>
    </row>
    <row r="61" spans="1:12" x14ac:dyDescent="0.3">
      <c r="A61">
        <v>10680</v>
      </c>
      <c r="B61" s="2">
        <v>45312</v>
      </c>
      <c r="C61" t="s">
        <v>21</v>
      </c>
      <c r="D61" t="s">
        <v>22</v>
      </c>
      <c r="E61" t="s">
        <v>14</v>
      </c>
      <c r="F61" t="s">
        <v>15</v>
      </c>
      <c r="G61" t="s">
        <v>16</v>
      </c>
      <c r="H61">
        <v>4</v>
      </c>
      <c r="I61" s="3">
        <v>31</v>
      </c>
      <c r="J61" s="3">
        <v>124</v>
      </c>
      <c r="K61" t="s">
        <v>30</v>
      </c>
      <c r="L61" t="s">
        <v>27</v>
      </c>
    </row>
    <row r="62" spans="1:12" x14ac:dyDescent="0.3">
      <c r="A62">
        <v>11073</v>
      </c>
      <c r="B62" s="2">
        <v>45312</v>
      </c>
      <c r="C62" t="s">
        <v>21</v>
      </c>
      <c r="D62" t="s">
        <v>13</v>
      </c>
      <c r="E62" t="s">
        <v>14</v>
      </c>
      <c r="F62" t="s">
        <v>38</v>
      </c>
      <c r="G62" t="s">
        <v>39</v>
      </c>
      <c r="H62">
        <v>3</v>
      </c>
      <c r="I62" s="3">
        <v>130</v>
      </c>
      <c r="J62" s="3">
        <v>390</v>
      </c>
      <c r="K62" t="s">
        <v>17</v>
      </c>
      <c r="L62" t="s">
        <v>18</v>
      </c>
    </row>
    <row r="63" spans="1:12" x14ac:dyDescent="0.3">
      <c r="A63">
        <v>10578</v>
      </c>
      <c r="B63" s="2">
        <v>45313</v>
      </c>
      <c r="C63" t="s">
        <v>12</v>
      </c>
      <c r="D63" t="s">
        <v>22</v>
      </c>
      <c r="E63" t="s">
        <v>23</v>
      </c>
      <c r="F63" t="s">
        <v>15</v>
      </c>
      <c r="G63" t="s">
        <v>16</v>
      </c>
      <c r="H63">
        <v>4</v>
      </c>
      <c r="I63" s="3">
        <v>136</v>
      </c>
      <c r="J63" s="3">
        <v>544</v>
      </c>
      <c r="K63" t="s">
        <v>25</v>
      </c>
      <c r="L63" t="s">
        <v>27</v>
      </c>
    </row>
    <row r="64" spans="1:12" x14ac:dyDescent="0.3">
      <c r="A64">
        <v>11026</v>
      </c>
      <c r="B64" s="2">
        <v>45313</v>
      </c>
      <c r="C64" t="s">
        <v>12</v>
      </c>
      <c r="D64" t="s">
        <v>13</v>
      </c>
      <c r="E64" t="s">
        <v>23</v>
      </c>
      <c r="F64" t="s">
        <v>28</v>
      </c>
      <c r="G64" t="s">
        <v>36</v>
      </c>
      <c r="H64">
        <v>5</v>
      </c>
      <c r="I64" s="3">
        <v>50</v>
      </c>
      <c r="J64" s="3">
        <v>250</v>
      </c>
      <c r="K64" t="s">
        <v>25</v>
      </c>
      <c r="L64" t="s">
        <v>18</v>
      </c>
    </row>
    <row r="65" spans="1:12" x14ac:dyDescent="0.3">
      <c r="A65">
        <v>10004</v>
      </c>
      <c r="B65" s="2">
        <v>45314</v>
      </c>
      <c r="C65" t="s">
        <v>21</v>
      </c>
      <c r="D65" t="s">
        <v>22</v>
      </c>
      <c r="E65" t="s">
        <v>14</v>
      </c>
      <c r="F65" t="s">
        <v>28</v>
      </c>
      <c r="G65" t="s">
        <v>29</v>
      </c>
      <c r="H65">
        <v>3</v>
      </c>
      <c r="I65" s="3">
        <v>87</v>
      </c>
      <c r="J65" s="3">
        <v>261</v>
      </c>
      <c r="K65" t="s">
        <v>30</v>
      </c>
      <c r="L65" t="s">
        <v>18</v>
      </c>
    </row>
    <row r="66" spans="1:12" x14ac:dyDescent="0.3">
      <c r="A66">
        <v>10231</v>
      </c>
      <c r="B66" s="2">
        <v>45315</v>
      </c>
      <c r="C66" t="s">
        <v>21</v>
      </c>
      <c r="D66" t="s">
        <v>26</v>
      </c>
      <c r="E66" t="s">
        <v>14</v>
      </c>
      <c r="F66" t="s">
        <v>15</v>
      </c>
      <c r="G66" t="s">
        <v>16</v>
      </c>
      <c r="H66">
        <v>5</v>
      </c>
      <c r="I66" s="3">
        <v>38</v>
      </c>
      <c r="J66" s="3">
        <v>190</v>
      </c>
      <c r="K66" t="s">
        <v>17</v>
      </c>
      <c r="L66" t="s">
        <v>18</v>
      </c>
    </row>
    <row r="67" spans="1:12" x14ac:dyDescent="0.3">
      <c r="A67">
        <v>11147</v>
      </c>
      <c r="B67" s="2">
        <v>45315</v>
      </c>
      <c r="C67" t="s">
        <v>40</v>
      </c>
      <c r="D67" t="s">
        <v>22</v>
      </c>
      <c r="E67" t="s">
        <v>23</v>
      </c>
      <c r="F67" t="s">
        <v>38</v>
      </c>
      <c r="G67" t="s">
        <v>41</v>
      </c>
      <c r="H67">
        <v>4</v>
      </c>
      <c r="I67" s="3">
        <v>48</v>
      </c>
      <c r="J67" s="3">
        <v>192</v>
      </c>
      <c r="K67" t="s">
        <v>32</v>
      </c>
      <c r="L67" t="s">
        <v>20</v>
      </c>
    </row>
    <row r="68" spans="1:12" x14ac:dyDescent="0.3">
      <c r="A68">
        <v>11179</v>
      </c>
      <c r="B68" s="2">
        <v>45315</v>
      </c>
      <c r="C68" t="s">
        <v>40</v>
      </c>
      <c r="D68" t="s">
        <v>13</v>
      </c>
      <c r="E68" t="s">
        <v>14</v>
      </c>
      <c r="F68" t="s">
        <v>15</v>
      </c>
      <c r="G68" t="s">
        <v>24</v>
      </c>
      <c r="H68">
        <v>4</v>
      </c>
      <c r="I68" s="3">
        <v>37</v>
      </c>
      <c r="J68" s="3">
        <v>148</v>
      </c>
      <c r="K68" t="s">
        <v>25</v>
      </c>
      <c r="L68" t="s">
        <v>18</v>
      </c>
    </row>
    <row r="69" spans="1:12" x14ac:dyDescent="0.3">
      <c r="A69">
        <v>10200</v>
      </c>
      <c r="B69" s="2">
        <v>45316</v>
      </c>
      <c r="C69" t="s">
        <v>40</v>
      </c>
      <c r="D69" t="s">
        <v>26</v>
      </c>
      <c r="E69" t="s">
        <v>23</v>
      </c>
      <c r="F69" t="s">
        <v>28</v>
      </c>
      <c r="G69" t="s">
        <v>34</v>
      </c>
      <c r="H69">
        <v>5</v>
      </c>
      <c r="I69" s="3">
        <v>110</v>
      </c>
      <c r="J69" s="3">
        <v>550</v>
      </c>
      <c r="K69" t="s">
        <v>17</v>
      </c>
      <c r="L69" t="s">
        <v>27</v>
      </c>
    </row>
    <row r="70" spans="1:12" x14ac:dyDescent="0.3">
      <c r="A70">
        <v>10838</v>
      </c>
      <c r="B70" s="2">
        <v>45316</v>
      </c>
      <c r="C70" t="s">
        <v>37</v>
      </c>
      <c r="D70" t="s">
        <v>26</v>
      </c>
      <c r="E70" t="s">
        <v>14</v>
      </c>
      <c r="F70" t="s">
        <v>28</v>
      </c>
      <c r="G70" t="s">
        <v>34</v>
      </c>
      <c r="H70">
        <v>2</v>
      </c>
      <c r="I70" s="3">
        <v>127</v>
      </c>
      <c r="J70" s="3">
        <v>254</v>
      </c>
      <c r="K70" t="s">
        <v>32</v>
      </c>
      <c r="L70" t="s">
        <v>27</v>
      </c>
    </row>
    <row r="71" spans="1:12" x14ac:dyDescent="0.3">
      <c r="A71">
        <v>10051</v>
      </c>
      <c r="B71" s="2">
        <v>45317</v>
      </c>
      <c r="C71" t="s">
        <v>12</v>
      </c>
      <c r="D71" t="s">
        <v>31</v>
      </c>
      <c r="E71" t="s">
        <v>23</v>
      </c>
      <c r="F71" t="s">
        <v>28</v>
      </c>
      <c r="G71" t="s">
        <v>34</v>
      </c>
      <c r="H71">
        <v>5</v>
      </c>
      <c r="I71" s="3">
        <v>138</v>
      </c>
      <c r="J71" s="3">
        <v>690</v>
      </c>
      <c r="K71" t="s">
        <v>32</v>
      </c>
      <c r="L71" t="s">
        <v>27</v>
      </c>
    </row>
    <row r="72" spans="1:12" x14ac:dyDescent="0.3">
      <c r="A72">
        <v>10375</v>
      </c>
      <c r="B72" s="2">
        <v>45317</v>
      </c>
      <c r="C72" t="s">
        <v>21</v>
      </c>
      <c r="D72" t="s">
        <v>26</v>
      </c>
      <c r="E72" t="s">
        <v>23</v>
      </c>
      <c r="F72" t="s">
        <v>28</v>
      </c>
      <c r="G72" t="s">
        <v>29</v>
      </c>
      <c r="H72">
        <v>3</v>
      </c>
      <c r="I72" s="3">
        <v>80</v>
      </c>
      <c r="J72" s="3">
        <v>240</v>
      </c>
      <c r="K72" t="s">
        <v>25</v>
      </c>
      <c r="L72" t="s">
        <v>33</v>
      </c>
    </row>
    <row r="73" spans="1:12" x14ac:dyDescent="0.3">
      <c r="A73">
        <v>10521</v>
      </c>
      <c r="B73" s="2">
        <v>45317</v>
      </c>
      <c r="C73" t="s">
        <v>40</v>
      </c>
      <c r="D73" t="s">
        <v>13</v>
      </c>
      <c r="E73" t="s">
        <v>14</v>
      </c>
      <c r="F73" t="s">
        <v>28</v>
      </c>
      <c r="G73" t="s">
        <v>29</v>
      </c>
      <c r="H73">
        <v>1</v>
      </c>
      <c r="I73" s="3">
        <v>58</v>
      </c>
      <c r="J73" s="3">
        <v>58</v>
      </c>
      <c r="K73" t="s">
        <v>35</v>
      </c>
      <c r="L73" t="s">
        <v>33</v>
      </c>
    </row>
    <row r="74" spans="1:12" x14ac:dyDescent="0.3">
      <c r="A74">
        <v>10588</v>
      </c>
      <c r="B74" s="2">
        <v>45317</v>
      </c>
      <c r="C74" t="s">
        <v>12</v>
      </c>
      <c r="D74" t="s">
        <v>13</v>
      </c>
      <c r="E74" t="s">
        <v>14</v>
      </c>
      <c r="F74" t="s">
        <v>28</v>
      </c>
      <c r="G74" t="s">
        <v>36</v>
      </c>
      <c r="H74">
        <v>3</v>
      </c>
      <c r="I74" s="3">
        <v>73</v>
      </c>
      <c r="J74" s="3">
        <v>219</v>
      </c>
      <c r="K74" t="s">
        <v>35</v>
      </c>
      <c r="L74" t="s">
        <v>18</v>
      </c>
    </row>
    <row r="75" spans="1:12" x14ac:dyDescent="0.3">
      <c r="A75">
        <v>10610</v>
      </c>
      <c r="B75" s="2">
        <v>45317</v>
      </c>
      <c r="C75" t="s">
        <v>12</v>
      </c>
      <c r="D75" t="s">
        <v>31</v>
      </c>
      <c r="E75" t="s">
        <v>23</v>
      </c>
      <c r="F75" t="s">
        <v>38</v>
      </c>
      <c r="G75" t="s">
        <v>43</v>
      </c>
      <c r="H75">
        <v>3</v>
      </c>
      <c r="I75" s="3">
        <v>133</v>
      </c>
      <c r="J75" s="3">
        <v>399</v>
      </c>
      <c r="K75" t="s">
        <v>25</v>
      </c>
      <c r="L75" t="s">
        <v>18</v>
      </c>
    </row>
    <row r="76" spans="1:12" x14ac:dyDescent="0.3">
      <c r="A76">
        <v>10136</v>
      </c>
      <c r="B76" s="2">
        <v>45318</v>
      </c>
      <c r="C76" t="s">
        <v>12</v>
      </c>
      <c r="D76" t="s">
        <v>13</v>
      </c>
      <c r="E76" t="s">
        <v>14</v>
      </c>
      <c r="F76" t="s">
        <v>15</v>
      </c>
      <c r="G76" t="s">
        <v>19</v>
      </c>
      <c r="H76">
        <v>5</v>
      </c>
      <c r="I76" s="3">
        <v>41</v>
      </c>
      <c r="J76" s="3">
        <v>205</v>
      </c>
      <c r="K76" t="s">
        <v>25</v>
      </c>
      <c r="L76" t="s">
        <v>33</v>
      </c>
    </row>
    <row r="77" spans="1:12" x14ac:dyDescent="0.3">
      <c r="A77">
        <v>10243</v>
      </c>
      <c r="B77" s="2">
        <v>45318</v>
      </c>
      <c r="C77" t="s">
        <v>37</v>
      </c>
      <c r="D77" t="s">
        <v>42</v>
      </c>
      <c r="E77" t="s">
        <v>14</v>
      </c>
      <c r="F77" t="s">
        <v>38</v>
      </c>
      <c r="G77" t="s">
        <v>39</v>
      </c>
      <c r="H77">
        <v>1</v>
      </c>
      <c r="I77" s="3">
        <v>68</v>
      </c>
      <c r="J77" s="3">
        <v>68</v>
      </c>
      <c r="K77" t="s">
        <v>25</v>
      </c>
      <c r="L77" t="s">
        <v>20</v>
      </c>
    </row>
    <row r="78" spans="1:12" x14ac:dyDescent="0.3">
      <c r="A78">
        <v>10639</v>
      </c>
      <c r="B78" s="2">
        <v>45318</v>
      </c>
      <c r="C78" t="s">
        <v>12</v>
      </c>
      <c r="D78" t="s">
        <v>42</v>
      </c>
      <c r="E78" t="s">
        <v>23</v>
      </c>
      <c r="F78" t="s">
        <v>28</v>
      </c>
      <c r="G78" t="s">
        <v>36</v>
      </c>
      <c r="H78">
        <v>3</v>
      </c>
      <c r="I78" s="3">
        <v>49</v>
      </c>
      <c r="J78" s="3">
        <v>147</v>
      </c>
      <c r="K78" t="s">
        <v>30</v>
      </c>
      <c r="L78" t="s">
        <v>33</v>
      </c>
    </row>
    <row r="79" spans="1:12" x14ac:dyDescent="0.3">
      <c r="A79">
        <v>10497</v>
      </c>
      <c r="B79" s="2">
        <v>45319</v>
      </c>
      <c r="C79" t="s">
        <v>21</v>
      </c>
      <c r="D79" t="s">
        <v>42</v>
      </c>
      <c r="E79" t="s">
        <v>14</v>
      </c>
      <c r="F79" t="s">
        <v>38</v>
      </c>
      <c r="G79" t="s">
        <v>41</v>
      </c>
      <c r="H79">
        <v>5</v>
      </c>
      <c r="I79" s="3">
        <v>52</v>
      </c>
      <c r="J79" s="3">
        <v>260</v>
      </c>
      <c r="K79" t="s">
        <v>17</v>
      </c>
      <c r="L79" t="s">
        <v>33</v>
      </c>
    </row>
    <row r="80" spans="1:12" x14ac:dyDescent="0.3">
      <c r="A80">
        <v>10669</v>
      </c>
      <c r="B80" s="2">
        <v>45319</v>
      </c>
      <c r="C80" t="s">
        <v>12</v>
      </c>
      <c r="D80" t="s">
        <v>31</v>
      </c>
      <c r="E80" t="s">
        <v>14</v>
      </c>
      <c r="F80" t="s">
        <v>38</v>
      </c>
      <c r="G80" t="s">
        <v>43</v>
      </c>
      <c r="H80">
        <v>2</v>
      </c>
      <c r="I80" s="3">
        <v>90</v>
      </c>
      <c r="J80" s="3">
        <v>180</v>
      </c>
      <c r="K80" t="s">
        <v>30</v>
      </c>
      <c r="L80" t="s">
        <v>27</v>
      </c>
    </row>
    <row r="81" spans="1:12" x14ac:dyDescent="0.3">
      <c r="A81">
        <v>10256</v>
      </c>
      <c r="B81" s="2">
        <v>45320</v>
      </c>
      <c r="C81" t="s">
        <v>40</v>
      </c>
      <c r="D81" t="s">
        <v>13</v>
      </c>
      <c r="E81" t="s">
        <v>14</v>
      </c>
      <c r="F81" t="s">
        <v>38</v>
      </c>
      <c r="G81" t="s">
        <v>39</v>
      </c>
      <c r="H81">
        <v>4</v>
      </c>
      <c r="I81" s="3">
        <v>141</v>
      </c>
      <c r="J81" s="3">
        <v>564</v>
      </c>
      <c r="K81" t="s">
        <v>30</v>
      </c>
      <c r="L81" t="s">
        <v>27</v>
      </c>
    </row>
    <row r="82" spans="1:12" x14ac:dyDescent="0.3">
      <c r="A82">
        <v>10654</v>
      </c>
      <c r="B82" s="2">
        <v>45320</v>
      </c>
      <c r="C82" t="s">
        <v>40</v>
      </c>
      <c r="D82" t="s">
        <v>26</v>
      </c>
      <c r="E82" t="s">
        <v>23</v>
      </c>
      <c r="F82" t="s">
        <v>38</v>
      </c>
      <c r="G82" t="s">
        <v>43</v>
      </c>
      <c r="H82">
        <v>3</v>
      </c>
      <c r="I82" s="3">
        <v>122</v>
      </c>
      <c r="J82" s="3">
        <v>366</v>
      </c>
      <c r="K82" t="s">
        <v>25</v>
      </c>
      <c r="L82" t="s">
        <v>27</v>
      </c>
    </row>
    <row r="83" spans="1:12" x14ac:dyDescent="0.3">
      <c r="A83">
        <v>10702</v>
      </c>
      <c r="B83" s="2">
        <v>45320</v>
      </c>
      <c r="C83" t="s">
        <v>12</v>
      </c>
      <c r="D83" t="s">
        <v>22</v>
      </c>
      <c r="E83" t="s">
        <v>14</v>
      </c>
      <c r="F83" t="s">
        <v>38</v>
      </c>
      <c r="G83" t="s">
        <v>39</v>
      </c>
      <c r="H83">
        <v>1</v>
      </c>
      <c r="I83" s="3">
        <v>103</v>
      </c>
      <c r="J83" s="3">
        <v>103</v>
      </c>
      <c r="K83" t="s">
        <v>35</v>
      </c>
      <c r="L83" t="s">
        <v>20</v>
      </c>
    </row>
    <row r="84" spans="1:12" x14ac:dyDescent="0.3">
      <c r="A84">
        <v>10704</v>
      </c>
      <c r="B84" s="2">
        <v>45320</v>
      </c>
      <c r="C84" t="s">
        <v>37</v>
      </c>
      <c r="D84" t="s">
        <v>42</v>
      </c>
      <c r="E84" t="s">
        <v>14</v>
      </c>
      <c r="F84" t="s">
        <v>38</v>
      </c>
      <c r="G84" t="s">
        <v>43</v>
      </c>
      <c r="H84">
        <v>5</v>
      </c>
      <c r="I84" s="3">
        <v>150</v>
      </c>
      <c r="J84" s="3">
        <v>750</v>
      </c>
      <c r="K84" t="s">
        <v>30</v>
      </c>
      <c r="L84" t="s">
        <v>33</v>
      </c>
    </row>
    <row r="85" spans="1:12" x14ac:dyDescent="0.3">
      <c r="A85">
        <v>10791</v>
      </c>
      <c r="B85" s="2">
        <v>45320</v>
      </c>
      <c r="C85" t="s">
        <v>40</v>
      </c>
      <c r="D85" t="s">
        <v>22</v>
      </c>
      <c r="E85" t="s">
        <v>23</v>
      </c>
      <c r="F85" t="s">
        <v>28</v>
      </c>
      <c r="G85" t="s">
        <v>34</v>
      </c>
      <c r="H85">
        <v>3</v>
      </c>
      <c r="I85" s="3">
        <v>102</v>
      </c>
      <c r="J85" s="3">
        <v>306</v>
      </c>
      <c r="K85" t="s">
        <v>25</v>
      </c>
      <c r="L85" t="s">
        <v>27</v>
      </c>
    </row>
    <row r="86" spans="1:12" x14ac:dyDescent="0.3">
      <c r="A86">
        <v>10848</v>
      </c>
      <c r="B86" s="2">
        <v>45321</v>
      </c>
      <c r="C86" t="s">
        <v>37</v>
      </c>
      <c r="D86" t="s">
        <v>42</v>
      </c>
      <c r="E86" t="s">
        <v>14</v>
      </c>
      <c r="F86" t="s">
        <v>15</v>
      </c>
      <c r="G86" t="s">
        <v>19</v>
      </c>
      <c r="H86">
        <v>2</v>
      </c>
      <c r="I86" s="3">
        <v>26</v>
      </c>
      <c r="J86" s="3">
        <v>52</v>
      </c>
      <c r="K86" t="s">
        <v>35</v>
      </c>
      <c r="L86" t="s">
        <v>20</v>
      </c>
    </row>
    <row r="87" spans="1:12" x14ac:dyDescent="0.3">
      <c r="A87">
        <v>10879</v>
      </c>
      <c r="B87" s="2">
        <v>45321</v>
      </c>
      <c r="C87" t="s">
        <v>12</v>
      </c>
      <c r="D87" t="s">
        <v>22</v>
      </c>
      <c r="E87" t="s">
        <v>14</v>
      </c>
      <c r="F87" t="s">
        <v>38</v>
      </c>
      <c r="G87" t="s">
        <v>39</v>
      </c>
      <c r="H87">
        <v>1</v>
      </c>
      <c r="I87" s="3">
        <v>57</v>
      </c>
      <c r="J87" s="3">
        <v>57</v>
      </c>
      <c r="K87" t="s">
        <v>30</v>
      </c>
      <c r="L87" t="s">
        <v>33</v>
      </c>
    </row>
    <row r="88" spans="1:12" x14ac:dyDescent="0.3">
      <c r="A88">
        <v>10252</v>
      </c>
      <c r="B88" s="2">
        <v>45322</v>
      </c>
      <c r="C88" t="s">
        <v>21</v>
      </c>
      <c r="D88" t="s">
        <v>42</v>
      </c>
      <c r="E88" t="s">
        <v>14</v>
      </c>
      <c r="F88" t="s">
        <v>28</v>
      </c>
      <c r="G88" t="s">
        <v>36</v>
      </c>
      <c r="H88">
        <v>4</v>
      </c>
      <c r="I88" s="3">
        <v>115</v>
      </c>
      <c r="J88" s="3">
        <v>460</v>
      </c>
      <c r="K88" t="s">
        <v>25</v>
      </c>
      <c r="L88" t="s">
        <v>27</v>
      </c>
    </row>
    <row r="89" spans="1:12" x14ac:dyDescent="0.3">
      <c r="A89">
        <v>10530</v>
      </c>
      <c r="B89" s="2">
        <v>45322</v>
      </c>
      <c r="C89" t="s">
        <v>37</v>
      </c>
      <c r="D89" t="s">
        <v>13</v>
      </c>
      <c r="E89" t="s">
        <v>14</v>
      </c>
      <c r="F89" t="s">
        <v>15</v>
      </c>
      <c r="G89" t="s">
        <v>24</v>
      </c>
      <c r="H89">
        <v>3</v>
      </c>
      <c r="I89" s="3">
        <v>35</v>
      </c>
      <c r="J89" s="3">
        <v>105</v>
      </c>
      <c r="K89" t="s">
        <v>32</v>
      </c>
      <c r="L89" t="s">
        <v>27</v>
      </c>
    </row>
    <row r="90" spans="1:12" x14ac:dyDescent="0.3">
      <c r="A90">
        <v>10055</v>
      </c>
      <c r="B90" s="2">
        <v>45324</v>
      </c>
      <c r="C90" t="s">
        <v>21</v>
      </c>
      <c r="D90" t="s">
        <v>42</v>
      </c>
      <c r="E90" t="s">
        <v>23</v>
      </c>
      <c r="F90" t="s">
        <v>28</v>
      </c>
      <c r="G90" t="s">
        <v>29</v>
      </c>
      <c r="H90">
        <v>2</v>
      </c>
      <c r="I90" s="3">
        <v>74</v>
      </c>
      <c r="J90" s="3">
        <v>148</v>
      </c>
      <c r="K90" t="s">
        <v>17</v>
      </c>
      <c r="L90" t="s">
        <v>27</v>
      </c>
    </row>
    <row r="91" spans="1:12" x14ac:dyDescent="0.3">
      <c r="A91">
        <v>10168</v>
      </c>
      <c r="B91" s="2">
        <v>45324</v>
      </c>
      <c r="C91" t="s">
        <v>40</v>
      </c>
      <c r="D91" t="s">
        <v>42</v>
      </c>
      <c r="E91" t="s">
        <v>14</v>
      </c>
      <c r="F91" t="s">
        <v>28</v>
      </c>
      <c r="G91" t="s">
        <v>29</v>
      </c>
      <c r="H91">
        <v>5</v>
      </c>
      <c r="I91" s="3">
        <v>137</v>
      </c>
      <c r="J91" s="3">
        <v>685</v>
      </c>
      <c r="K91" t="s">
        <v>17</v>
      </c>
      <c r="L91" t="s">
        <v>20</v>
      </c>
    </row>
    <row r="92" spans="1:12" x14ac:dyDescent="0.3">
      <c r="A92">
        <v>10301</v>
      </c>
      <c r="B92" s="2">
        <v>45324</v>
      </c>
      <c r="C92" t="s">
        <v>21</v>
      </c>
      <c r="D92" t="s">
        <v>13</v>
      </c>
      <c r="E92" t="s">
        <v>23</v>
      </c>
      <c r="F92" t="s">
        <v>15</v>
      </c>
      <c r="G92" t="s">
        <v>16</v>
      </c>
      <c r="H92">
        <v>4</v>
      </c>
      <c r="I92" s="3">
        <v>111</v>
      </c>
      <c r="J92" s="3">
        <v>444</v>
      </c>
      <c r="K92" t="s">
        <v>32</v>
      </c>
      <c r="L92" t="s">
        <v>27</v>
      </c>
    </row>
    <row r="93" spans="1:12" x14ac:dyDescent="0.3">
      <c r="A93">
        <v>10386</v>
      </c>
      <c r="B93" s="2">
        <v>45324</v>
      </c>
      <c r="C93" t="s">
        <v>37</v>
      </c>
      <c r="D93" t="s">
        <v>26</v>
      </c>
      <c r="E93" t="s">
        <v>23</v>
      </c>
      <c r="F93" t="s">
        <v>38</v>
      </c>
      <c r="G93" t="s">
        <v>43</v>
      </c>
      <c r="H93">
        <v>1</v>
      </c>
      <c r="I93" s="3">
        <v>143</v>
      </c>
      <c r="J93" s="3">
        <v>143</v>
      </c>
      <c r="K93" t="s">
        <v>35</v>
      </c>
      <c r="L93" t="s">
        <v>33</v>
      </c>
    </row>
    <row r="94" spans="1:12" x14ac:dyDescent="0.3">
      <c r="A94">
        <v>10126</v>
      </c>
      <c r="B94" s="2">
        <v>45325</v>
      </c>
      <c r="C94" t="s">
        <v>12</v>
      </c>
      <c r="D94" t="s">
        <v>26</v>
      </c>
      <c r="E94" t="s">
        <v>23</v>
      </c>
      <c r="F94" t="s">
        <v>28</v>
      </c>
      <c r="G94" t="s">
        <v>34</v>
      </c>
      <c r="H94">
        <v>3</v>
      </c>
      <c r="I94" s="3">
        <v>57</v>
      </c>
      <c r="J94" s="3">
        <v>171</v>
      </c>
      <c r="K94" t="s">
        <v>30</v>
      </c>
      <c r="L94" t="s">
        <v>33</v>
      </c>
    </row>
    <row r="95" spans="1:12" x14ac:dyDescent="0.3">
      <c r="A95">
        <v>10153</v>
      </c>
      <c r="B95" s="2">
        <v>45325</v>
      </c>
      <c r="C95" t="s">
        <v>37</v>
      </c>
      <c r="D95" t="s">
        <v>31</v>
      </c>
      <c r="E95" t="s">
        <v>23</v>
      </c>
      <c r="F95" t="s">
        <v>15</v>
      </c>
      <c r="G95" t="s">
        <v>24</v>
      </c>
      <c r="H95">
        <v>1</v>
      </c>
      <c r="I95" s="3">
        <v>105</v>
      </c>
      <c r="J95" s="3">
        <v>105</v>
      </c>
      <c r="K95" t="s">
        <v>35</v>
      </c>
      <c r="L95" t="s">
        <v>33</v>
      </c>
    </row>
    <row r="96" spans="1:12" x14ac:dyDescent="0.3">
      <c r="A96">
        <v>10398</v>
      </c>
      <c r="B96" s="2">
        <v>45325</v>
      </c>
      <c r="C96" t="s">
        <v>40</v>
      </c>
      <c r="D96" t="s">
        <v>26</v>
      </c>
      <c r="E96" t="s">
        <v>23</v>
      </c>
      <c r="F96" t="s">
        <v>15</v>
      </c>
      <c r="G96" t="s">
        <v>24</v>
      </c>
      <c r="H96">
        <v>3</v>
      </c>
      <c r="I96" s="3">
        <v>62</v>
      </c>
      <c r="J96" s="3">
        <v>186</v>
      </c>
      <c r="K96" t="s">
        <v>30</v>
      </c>
      <c r="L96" t="s">
        <v>33</v>
      </c>
    </row>
    <row r="97" spans="1:12" x14ac:dyDescent="0.3">
      <c r="A97">
        <v>10576</v>
      </c>
      <c r="B97" s="2">
        <v>45325</v>
      </c>
      <c r="C97" t="s">
        <v>12</v>
      </c>
      <c r="D97" t="s">
        <v>42</v>
      </c>
      <c r="E97" t="s">
        <v>23</v>
      </c>
      <c r="F97" t="s">
        <v>28</v>
      </c>
      <c r="G97" t="s">
        <v>36</v>
      </c>
      <c r="H97">
        <v>2</v>
      </c>
      <c r="I97" s="3">
        <v>72</v>
      </c>
      <c r="J97" s="3">
        <v>144</v>
      </c>
      <c r="K97" t="s">
        <v>35</v>
      </c>
      <c r="L97" t="s">
        <v>27</v>
      </c>
    </row>
    <row r="98" spans="1:12" x14ac:dyDescent="0.3">
      <c r="A98">
        <v>10171</v>
      </c>
      <c r="B98" s="2">
        <v>45326</v>
      </c>
      <c r="C98" t="s">
        <v>37</v>
      </c>
      <c r="D98" t="s">
        <v>13</v>
      </c>
      <c r="E98" t="s">
        <v>14</v>
      </c>
      <c r="F98" t="s">
        <v>38</v>
      </c>
      <c r="G98" t="s">
        <v>39</v>
      </c>
      <c r="H98">
        <v>1</v>
      </c>
      <c r="I98" s="3">
        <v>111</v>
      </c>
      <c r="J98" s="3">
        <v>111</v>
      </c>
      <c r="K98" t="s">
        <v>17</v>
      </c>
      <c r="L98" t="s">
        <v>33</v>
      </c>
    </row>
    <row r="99" spans="1:12" x14ac:dyDescent="0.3">
      <c r="A99">
        <v>10236</v>
      </c>
      <c r="B99" s="2">
        <v>45326</v>
      </c>
      <c r="C99" t="s">
        <v>40</v>
      </c>
      <c r="D99" t="s">
        <v>22</v>
      </c>
      <c r="E99" t="s">
        <v>14</v>
      </c>
      <c r="F99" t="s">
        <v>15</v>
      </c>
      <c r="G99" t="s">
        <v>16</v>
      </c>
      <c r="H99">
        <v>2</v>
      </c>
      <c r="I99" s="3">
        <v>72</v>
      </c>
      <c r="J99" s="3">
        <v>144</v>
      </c>
      <c r="K99" t="s">
        <v>30</v>
      </c>
      <c r="L99" t="s">
        <v>18</v>
      </c>
    </row>
    <row r="100" spans="1:12" x14ac:dyDescent="0.3">
      <c r="A100">
        <v>10281</v>
      </c>
      <c r="B100" s="2">
        <v>45326</v>
      </c>
      <c r="C100" t="s">
        <v>37</v>
      </c>
      <c r="D100" t="s">
        <v>31</v>
      </c>
      <c r="E100" t="s">
        <v>14</v>
      </c>
      <c r="F100" t="s">
        <v>15</v>
      </c>
      <c r="G100" t="s">
        <v>24</v>
      </c>
      <c r="H100">
        <v>4</v>
      </c>
      <c r="I100" s="3">
        <v>101</v>
      </c>
      <c r="J100" s="3">
        <v>404</v>
      </c>
      <c r="K100" t="s">
        <v>25</v>
      </c>
      <c r="L100" t="s">
        <v>33</v>
      </c>
    </row>
    <row r="101" spans="1:12" x14ac:dyDescent="0.3">
      <c r="A101">
        <v>10839</v>
      </c>
      <c r="B101" s="2">
        <v>45326</v>
      </c>
      <c r="C101" t="s">
        <v>40</v>
      </c>
      <c r="D101" t="s">
        <v>42</v>
      </c>
      <c r="E101" t="s">
        <v>23</v>
      </c>
      <c r="F101" t="s">
        <v>28</v>
      </c>
      <c r="G101" t="s">
        <v>34</v>
      </c>
      <c r="H101">
        <v>5</v>
      </c>
      <c r="I101" s="3">
        <v>109</v>
      </c>
      <c r="J101" s="3">
        <v>545</v>
      </c>
      <c r="K101" t="s">
        <v>17</v>
      </c>
      <c r="L101" t="s">
        <v>33</v>
      </c>
    </row>
    <row r="102" spans="1:12" x14ac:dyDescent="0.3">
      <c r="A102">
        <v>10928</v>
      </c>
      <c r="B102" s="2">
        <v>45326</v>
      </c>
      <c r="C102" t="s">
        <v>12</v>
      </c>
      <c r="D102" t="s">
        <v>42</v>
      </c>
      <c r="E102" t="s">
        <v>23</v>
      </c>
      <c r="F102" t="s">
        <v>15</v>
      </c>
      <c r="G102" t="s">
        <v>24</v>
      </c>
      <c r="H102">
        <v>3</v>
      </c>
      <c r="I102" s="3">
        <v>31</v>
      </c>
      <c r="J102" s="3">
        <v>93</v>
      </c>
      <c r="K102" t="s">
        <v>17</v>
      </c>
      <c r="L102" t="s">
        <v>27</v>
      </c>
    </row>
    <row r="103" spans="1:12" x14ac:dyDescent="0.3">
      <c r="A103">
        <v>10930</v>
      </c>
      <c r="B103" s="2">
        <v>45326</v>
      </c>
      <c r="C103" t="s">
        <v>37</v>
      </c>
      <c r="D103" t="s">
        <v>31</v>
      </c>
      <c r="E103" t="s">
        <v>23</v>
      </c>
      <c r="F103" t="s">
        <v>38</v>
      </c>
      <c r="G103" t="s">
        <v>41</v>
      </c>
      <c r="H103">
        <v>3</v>
      </c>
      <c r="I103" s="3">
        <v>143</v>
      </c>
      <c r="J103" s="3">
        <v>429</v>
      </c>
      <c r="K103" t="s">
        <v>30</v>
      </c>
      <c r="L103" t="s">
        <v>20</v>
      </c>
    </row>
    <row r="104" spans="1:12" x14ac:dyDescent="0.3">
      <c r="A104">
        <v>11186</v>
      </c>
      <c r="B104" s="2">
        <v>45326</v>
      </c>
      <c r="C104" t="s">
        <v>21</v>
      </c>
      <c r="D104" t="s">
        <v>42</v>
      </c>
      <c r="E104" t="s">
        <v>23</v>
      </c>
      <c r="F104" t="s">
        <v>38</v>
      </c>
      <c r="G104" t="s">
        <v>43</v>
      </c>
      <c r="H104">
        <v>5</v>
      </c>
      <c r="I104" s="3">
        <v>55</v>
      </c>
      <c r="J104" s="3">
        <v>275</v>
      </c>
      <c r="K104" t="s">
        <v>25</v>
      </c>
      <c r="L104" t="s">
        <v>18</v>
      </c>
    </row>
    <row r="105" spans="1:12" x14ac:dyDescent="0.3">
      <c r="A105">
        <v>10028</v>
      </c>
      <c r="B105" s="2">
        <v>45327</v>
      </c>
      <c r="C105" t="s">
        <v>40</v>
      </c>
      <c r="D105" t="s">
        <v>13</v>
      </c>
      <c r="E105" t="s">
        <v>23</v>
      </c>
      <c r="F105" t="s">
        <v>28</v>
      </c>
      <c r="G105" t="s">
        <v>36</v>
      </c>
      <c r="H105">
        <v>1</v>
      </c>
      <c r="I105" s="3">
        <v>67</v>
      </c>
      <c r="J105" s="3">
        <v>67</v>
      </c>
      <c r="K105" t="s">
        <v>25</v>
      </c>
      <c r="L105" t="s">
        <v>20</v>
      </c>
    </row>
    <row r="106" spans="1:12" x14ac:dyDescent="0.3">
      <c r="A106">
        <v>10084</v>
      </c>
      <c r="B106" s="2">
        <v>45328</v>
      </c>
      <c r="C106" t="s">
        <v>40</v>
      </c>
      <c r="D106" t="s">
        <v>13</v>
      </c>
      <c r="E106" t="s">
        <v>23</v>
      </c>
      <c r="F106" t="s">
        <v>15</v>
      </c>
      <c r="G106" t="s">
        <v>16</v>
      </c>
      <c r="H106">
        <v>3</v>
      </c>
      <c r="I106" s="3">
        <v>56</v>
      </c>
      <c r="J106" s="3">
        <v>168</v>
      </c>
      <c r="K106" t="s">
        <v>17</v>
      </c>
      <c r="L106" t="s">
        <v>33</v>
      </c>
    </row>
    <row r="107" spans="1:12" x14ac:dyDescent="0.3">
      <c r="A107">
        <v>10540</v>
      </c>
      <c r="B107" s="2">
        <v>45328</v>
      </c>
      <c r="C107" t="s">
        <v>37</v>
      </c>
      <c r="D107" t="s">
        <v>31</v>
      </c>
      <c r="E107" t="s">
        <v>14</v>
      </c>
      <c r="F107" t="s">
        <v>15</v>
      </c>
      <c r="G107" t="s">
        <v>19</v>
      </c>
      <c r="H107">
        <v>5</v>
      </c>
      <c r="I107" s="3">
        <v>30</v>
      </c>
      <c r="J107" s="3">
        <v>150</v>
      </c>
      <c r="K107" t="s">
        <v>17</v>
      </c>
      <c r="L107" t="s">
        <v>18</v>
      </c>
    </row>
    <row r="108" spans="1:12" x14ac:dyDescent="0.3">
      <c r="A108">
        <v>10659</v>
      </c>
      <c r="B108" s="2">
        <v>45328</v>
      </c>
      <c r="C108" t="s">
        <v>40</v>
      </c>
      <c r="D108" t="s">
        <v>13</v>
      </c>
      <c r="E108" t="s">
        <v>23</v>
      </c>
      <c r="F108" t="s">
        <v>15</v>
      </c>
      <c r="G108" t="s">
        <v>24</v>
      </c>
      <c r="H108">
        <v>2</v>
      </c>
      <c r="I108" s="3">
        <v>79</v>
      </c>
      <c r="J108" s="3">
        <v>158</v>
      </c>
      <c r="K108" t="s">
        <v>25</v>
      </c>
      <c r="L108" t="s">
        <v>27</v>
      </c>
    </row>
    <row r="109" spans="1:12" x14ac:dyDescent="0.3">
      <c r="A109">
        <v>10898</v>
      </c>
      <c r="B109" s="2">
        <v>45328</v>
      </c>
      <c r="C109" t="s">
        <v>37</v>
      </c>
      <c r="D109" t="s">
        <v>31</v>
      </c>
      <c r="E109" t="s">
        <v>14</v>
      </c>
      <c r="F109" t="s">
        <v>38</v>
      </c>
      <c r="G109" t="s">
        <v>41</v>
      </c>
      <c r="H109">
        <v>1</v>
      </c>
      <c r="I109" s="3">
        <v>50</v>
      </c>
      <c r="J109" s="3">
        <v>50</v>
      </c>
      <c r="K109" t="s">
        <v>35</v>
      </c>
      <c r="L109" t="s">
        <v>20</v>
      </c>
    </row>
    <row r="110" spans="1:12" x14ac:dyDescent="0.3">
      <c r="A110">
        <v>10942</v>
      </c>
      <c r="B110" s="2">
        <v>45328</v>
      </c>
      <c r="C110" t="s">
        <v>37</v>
      </c>
      <c r="D110" t="s">
        <v>13</v>
      </c>
      <c r="E110" t="s">
        <v>23</v>
      </c>
      <c r="F110" t="s">
        <v>38</v>
      </c>
      <c r="G110" t="s">
        <v>39</v>
      </c>
      <c r="H110">
        <v>4</v>
      </c>
      <c r="I110" s="3">
        <v>143</v>
      </c>
      <c r="J110" s="3">
        <v>572</v>
      </c>
      <c r="K110" t="s">
        <v>32</v>
      </c>
      <c r="L110" t="s">
        <v>20</v>
      </c>
    </row>
    <row r="111" spans="1:12" x14ac:dyDescent="0.3">
      <c r="A111">
        <v>10315</v>
      </c>
      <c r="B111" s="2">
        <v>45329</v>
      </c>
      <c r="C111" t="s">
        <v>40</v>
      </c>
      <c r="D111" t="s">
        <v>22</v>
      </c>
      <c r="E111" t="s">
        <v>14</v>
      </c>
      <c r="F111" t="s">
        <v>38</v>
      </c>
      <c r="G111" t="s">
        <v>43</v>
      </c>
      <c r="H111">
        <v>2</v>
      </c>
      <c r="I111" s="3">
        <v>140</v>
      </c>
      <c r="J111" s="3">
        <v>280</v>
      </c>
      <c r="K111" t="s">
        <v>25</v>
      </c>
      <c r="L111" t="s">
        <v>33</v>
      </c>
    </row>
    <row r="112" spans="1:12" x14ac:dyDescent="0.3">
      <c r="A112">
        <v>10917</v>
      </c>
      <c r="B112" s="2">
        <v>45329</v>
      </c>
      <c r="C112" t="s">
        <v>21</v>
      </c>
      <c r="D112" t="s">
        <v>42</v>
      </c>
      <c r="E112" t="s">
        <v>23</v>
      </c>
      <c r="F112" t="s">
        <v>15</v>
      </c>
      <c r="G112" t="s">
        <v>16</v>
      </c>
      <c r="H112">
        <v>4</v>
      </c>
      <c r="I112" s="3">
        <v>26</v>
      </c>
      <c r="J112" s="3">
        <v>104</v>
      </c>
      <c r="K112" t="s">
        <v>30</v>
      </c>
      <c r="L112" t="s">
        <v>20</v>
      </c>
    </row>
    <row r="113" spans="1:12" x14ac:dyDescent="0.3">
      <c r="A113">
        <v>10024</v>
      </c>
      <c r="B113" s="2">
        <v>45330</v>
      </c>
      <c r="C113" t="s">
        <v>21</v>
      </c>
      <c r="D113" t="s">
        <v>22</v>
      </c>
      <c r="E113" t="s">
        <v>14</v>
      </c>
      <c r="F113" t="s">
        <v>28</v>
      </c>
      <c r="G113" t="s">
        <v>29</v>
      </c>
      <c r="H113">
        <v>4</v>
      </c>
      <c r="I113" s="3">
        <v>83</v>
      </c>
      <c r="J113" s="3">
        <v>332</v>
      </c>
      <c r="K113" t="s">
        <v>25</v>
      </c>
      <c r="L113" t="s">
        <v>18</v>
      </c>
    </row>
    <row r="114" spans="1:12" x14ac:dyDescent="0.3">
      <c r="A114">
        <v>10112</v>
      </c>
      <c r="B114" s="2">
        <v>45330</v>
      </c>
      <c r="C114" t="s">
        <v>12</v>
      </c>
      <c r="D114" t="s">
        <v>13</v>
      </c>
      <c r="E114" t="s">
        <v>23</v>
      </c>
      <c r="F114" t="s">
        <v>15</v>
      </c>
      <c r="G114" t="s">
        <v>19</v>
      </c>
      <c r="H114">
        <v>1</v>
      </c>
      <c r="I114" s="3">
        <v>139</v>
      </c>
      <c r="J114" s="3">
        <v>139</v>
      </c>
      <c r="K114" t="s">
        <v>17</v>
      </c>
      <c r="L114" t="s">
        <v>33</v>
      </c>
    </row>
    <row r="115" spans="1:12" x14ac:dyDescent="0.3">
      <c r="A115">
        <v>10179</v>
      </c>
      <c r="B115" s="2">
        <v>45330</v>
      </c>
      <c r="C115" t="s">
        <v>21</v>
      </c>
      <c r="D115" t="s">
        <v>26</v>
      </c>
      <c r="E115" t="s">
        <v>14</v>
      </c>
      <c r="F115" t="s">
        <v>15</v>
      </c>
      <c r="G115" t="s">
        <v>19</v>
      </c>
      <c r="H115">
        <v>3</v>
      </c>
      <c r="I115" s="3">
        <v>34</v>
      </c>
      <c r="J115" s="3">
        <v>102</v>
      </c>
      <c r="K115" t="s">
        <v>25</v>
      </c>
      <c r="L115" t="s">
        <v>20</v>
      </c>
    </row>
    <row r="116" spans="1:12" x14ac:dyDescent="0.3">
      <c r="A116">
        <v>10340</v>
      </c>
      <c r="B116" s="2">
        <v>45330</v>
      </c>
      <c r="C116" t="s">
        <v>40</v>
      </c>
      <c r="D116" t="s">
        <v>31</v>
      </c>
      <c r="E116" t="s">
        <v>14</v>
      </c>
      <c r="F116" t="s">
        <v>38</v>
      </c>
      <c r="G116" t="s">
        <v>39</v>
      </c>
      <c r="H116">
        <v>1</v>
      </c>
      <c r="I116" s="3">
        <v>86</v>
      </c>
      <c r="J116" s="3">
        <v>86</v>
      </c>
      <c r="K116" t="s">
        <v>30</v>
      </c>
      <c r="L116" t="s">
        <v>20</v>
      </c>
    </row>
    <row r="117" spans="1:12" x14ac:dyDescent="0.3">
      <c r="A117">
        <v>10415</v>
      </c>
      <c r="B117" s="2">
        <v>45330</v>
      </c>
      <c r="C117" t="s">
        <v>21</v>
      </c>
      <c r="D117" t="s">
        <v>26</v>
      </c>
      <c r="E117" t="s">
        <v>14</v>
      </c>
      <c r="F117" t="s">
        <v>15</v>
      </c>
      <c r="G117" t="s">
        <v>19</v>
      </c>
      <c r="H117">
        <v>4</v>
      </c>
      <c r="I117" s="3">
        <v>62</v>
      </c>
      <c r="J117" s="3">
        <v>248</v>
      </c>
      <c r="K117" t="s">
        <v>35</v>
      </c>
      <c r="L117" t="s">
        <v>33</v>
      </c>
    </row>
    <row r="118" spans="1:12" x14ac:dyDescent="0.3">
      <c r="A118">
        <v>10549</v>
      </c>
      <c r="B118" s="2">
        <v>45331</v>
      </c>
      <c r="C118" t="s">
        <v>37</v>
      </c>
      <c r="D118" t="s">
        <v>42</v>
      </c>
      <c r="E118" t="s">
        <v>14</v>
      </c>
      <c r="F118" t="s">
        <v>15</v>
      </c>
      <c r="G118" t="s">
        <v>19</v>
      </c>
      <c r="H118">
        <v>5</v>
      </c>
      <c r="I118" s="3">
        <v>75</v>
      </c>
      <c r="J118" s="3">
        <v>375</v>
      </c>
      <c r="K118" t="s">
        <v>30</v>
      </c>
      <c r="L118" t="s">
        <v>18</v>
      </c>
    </row>
    <row r="119" spans="1:12" x14ac:dyDescent="0.3">
      <c r="A119">
        <v>10993</v>
      </c>
      <c r="B119" s="2">
        <v>45331</v>
      </c>
      <c r="C119" t="s">
        <v>37</v>
      </c>
      <c r="D119" t="s">
        <v>31</v>
      </c>
      <c r="E119" t="s">
        <v>14</v>
      </c>
      <c r="F119" t="s">
        <v>38</v>
      </c>
      <c r="G119" t="s">
        <v>41</v>
      </c>
      <c r="H119">
        <v>5</v>
      </c>
      <c r="I119" s="3">
        <v>83</v>
      </c>
      <c r="J119" s="3">
        <v>415</v>
      </c>
      <c r="K119" t="s">
        <v>17</v>
      </c>
      <c r="L119" t="s">
        <v>27</v>
      </c>
    </row>
    <row r="120" spans="1:12" x14ac:dyDescent="0.3">
      <c r="A120">
        <v>11048</v>
      </c>
      <c r="B120" s="2">
        <v>45331</v>
      </c>
      <c r="C120" t="s">
        <v>37</v>
      </c>
      <c r="D120" t="s">
        <v>31</v>
      </c>
      <c r="E120" t="s">
        <v>23</v>
      </c>
      <c r="F120" t="s">
        <v>28</v>
      </c>
      <c r="G120" t="s">
        <v>34</v>
      </c>
      <c r="H120">
        <v>3</v>
      </c>
      <c r="I120" s="3">
        <v>111</v>
      </c>
      <c r="J120" s="3">
        <v>333</v>
      </c>
      <c r="K120" t="s">
        <v>25</v>
      </c>
      <c r="L120" t="s">
        <v>18</v>
      </c>
    </row>
    <row r="121" spans="1:12" x14ac:dyDescent="0.3">
      <c r="A121">
        <v>11088</v>
      </c>
      <c r="B121" s="2">
        <v>45331</v>
      </c>
      <c r="C121" t="s">
        <v>12</v>
      </c>
      <c r="D121" t="s">
        <v>26</v>
      </c>
      <c r="E121" t="s">
        <v>23</v>
      </c>
      <c r="F121" t="s">
        <v>28</v>
      </c>
      <c r="G121" t="s">
        <v>36</v>
      </c>
      <c r="H121">
        <v>5</v>
      </c>
      <c r="I121" s="3">
        <v>70</v>
      </c>
      <c r="J121" s="3">
        <v>350</v>
      </c>
      <c r="K121" t="s">
        <v>25</v>
      </c>
      <c r="L121" t="s">
        <v>20</v>
      </c>
    </row>
    <row r="122" spans="1:12" x14ac:dyDescent="0.3">
      <c r="A122">
        <v>11146</v>
      </c>
      <c r="B122" s="2">
        <v>45331</v>
      </c>
      <c r="C122" t="s">
        <v>12</v>
      </c>
      <c r="D122" t="s">
        <v>31</v>
      </c>
      <c r="E122" t="s">
        <v>23</v>
      </c>
      <c r="F122" t="s">
        <v>38</v>
      </c>
      <c r="G122" t="s">
        <v>41</v>
      </c>
      <c r="H122">
        <v>2</v>
      </c>
      <c r="I122" s="3">
        <v>87</v>
      </c>
      <c r="J122" s="3">
        <v>174</v>
      </c>
      <c r="K122" t="s">
        <v>30</v>
      </c>
      <c r="L122" t="s">
        <v>18</v>
      </c>
    </row>
    <row r="123" spans="1:12" x14ac:dyDescent="0.3">
      <c r="A123">
        <v>10939</v>
      </c>
      <c r="B123" s="2">
        <v>45332</v>
      </c>
      <c r="C123" t="s">
        <v>37</v>
      </c>
      <c r="D123" t="s">
        <v>42</v>
      </c>
      <c r="E123" t="s">
        <v>23</v>
      </c>
      <c r="F123" t="s">
        <v>15</v>
      </c>
      <c r="G123" t="s">
        <v>16</v>
      </c>
      <c r="H123">
        <v>3</v>
      </c>
      <c r="I123" s="3">
        <v>143</v>
      </c>
      <c r="J123" s="3">
        <v>429</v>
      </c>
      <c r="K123" t="s">
        <v>32</v>
      </c>
      <c r="L123" t="s">
        <v>27</v>
      </c>
    </row>
    <row r="124" spans="1:12" x14ac:dyDescent="0.3">
      <c r="A124">
        <v>11085</v>
      </c>
      <c r="B124" s="2">
        <v>45333</v>
      </c>
      <c r="C124" t="s">
        <v>37</v>
      </c>
      <c r="D124" t="s">
        <v>42</v>
      </c>
      <c r="E124" t="s">
        <v>23</v>
      </c>
      <c r="F124" t="s">
        <v>28</v>
      </c>
      <c r="G124" t="s">
        <v>34</v>
      </c>
      <c r="H124">
        <v>3</v>
      </c>
      <c r="I124" s="3">
        <v>123</v>
      </c>
      <c r="J124" s="3">
        <v>369</v>
      </c>
      <c r="K124" t="s">
        <v>17</v>
      </c>
      <c r="L124" t="s">
        <v>20</v>
      </c>
    </row>
    <row r="125" spans="1:12" x14ac:dyDescent="0.3">
      <c r="A125">
        <v>10059</v>
      </c>
      <c r="B125" s="2">
        <v>45334</v>
      </c>
      <c r="C125" t="s">
        <v>21</v>
      </c>
      <c r="D125" t="s">
        <v>13</v>
      </c>
      <c r="E125" t="s">
        <v>23</v>
      </c>
      <c r="F125" t="s">
        <v>38</v>
      </c>
      <c r="G125" t="s">
        <v>43</v>
      </c>
      <c r="H125">
        <v>5</v>
      </c>
      <c r="I125" s="3">
        <v>26</v>
      </c>
      <c r="J125" s="3">
        <v>130</v>
      </c>
      <c r="K125" t="s">
        <v>32</v>
      </c>
      <c r="L125" t="s">
        <v>18</v>
      </c>
    </row>
    <row r="126" spans="1:12" x14ac:dyDescent="0.3">
      <c r="A126">
        <v>10583</v>
      </c>
      <c r="B126" s="2">
        <v>45335</v>
      </c>
      <c r="C126" t="s">
        <v>21</v>
      </c>
      <c r="D126" t="s">
        <v>22</v>
      </c>
      <c r="E126" t="s">
        <v>14</v>
      </c>
      <c r="F126" t="s">
        <v>28</v>
      </c>
      <c r="G126" t="s">
        <v>36</v>
      </c>
      <c r="H126">
        <v>4</v>
      </c>
      <c r="I126" s="3">
        <v>112</v>
      </c>
      <c r="J126" s="3">
        <v>448</v>
      </c>
      <c r="K126" t="s">
        <v>30</v>
      </c>
      <c r="L126" t="s">
        <v>27</v>
      </c>
    </row>
    <row r="127" spans="1:12" x14ac:dyDescent="0.3">
      <c r="A127">
        <v>10656</v>
      </c>
      <c r="B127" s="2">
        <v>45335</v>
      </c>
      <c r="C127" t="s">
        <v>21</v>
      </c>
      <c r="D127" t="s">
        <v>13</v>
      </c>
      <c r="E127" t="s">
        <v>14</v>
      </c>
      <c r="F127" t="s">
        <v>28</v>
      </c>
      <c r="G127" t="s">
        <v>36</v>
      </c>
      <c r="H127">
        <v>3</v>
      </c>
      <c r="I127" s="3">
        <v>144</v>
      </c>
      <c r="J127" s="3">
        <v>432</v>
      </c>
      <c r="K127" t="s">
        <v>25</v>
      </c>
      <c r="L127" t="s">
        <v>20</v>
      </c>
    </row>
    <row r="128" spans="1:12" x14ac:dyDescent="0.3">
      <c r="A128">
        <v>10777</v>
      </c>
      <c r="B128" s="2">
        <v>45335</v>
      </c>
      <c r="C128" t="s">
        <v>40</v>
      </c>
      <c r="D128" t="s">
        <v>42</v>
      </c>
      <c r="E128" t="s">
        <v>14</v>
      </c>
      <c r="F128" t="s">
        <v>28</v>
      </c>
      <c r="G128" t="s">
        <v>29</v>
      </c>
      <c r="H128">
        <v>5</v>
      </c>
      <c r="I128" s="3">
        <v>137</v>
      </c>
      <c r="J128" s="3">
        <v>685</v>
      </c>
      <c r="K128" t="s">
        <v>35</v>
      </c>
      <c r="L128" t="s">
        <v>27</v>
      </c>
    </row>
    <row r="129" spans="1:12" x14ac:dyDescent="0.3">
      <c r="A129">
        <v>10954</v>
      </c>
      <c r="B129" s="2">
        <v>45335</v>
      </c>
      <c r="C129" t="s">
        <v>21</v>
      </c>
      <c r="D129" t="s">
        <v>31</v>
      </c>
      <c r="E129" t="s">
        <v>23</v>
      </c>
      <c r="F129" t="s">
        <v>15</v>
      </c>
      <c r="G129" t="s">
        <v>16</v>
      </c>
      <c r="H129">
        <v>1</v>
      </c>
      <c r="I129" s="3">
        <v>95</v>
      </c>
      <c r="J129" s="3">
        <v>95</v>
      </c>
      <c r="K129" t="s">
        <v>25</v>
      </c>
      <c r="L129" t="s">
        <v>33</v>
      </c>
    </row>
    <row r="130" spans="1:12" x14ac:dyDescent="0.3">
      <c r="A130">
        <v>11009</v>
      </c>
      <c r="B130" s="2">
        <v>45335</v>
      </c>
      <c r="C130" t="s">
        <v>12</v>
      </c>
      <c r="D130" t="s">
        <v>42</v>
      </c>
      <c r="E130" t="s">
        <v>14</v>
      </c>
      <c r="F130" t="s">
        <v>28</v>
      </c>
      <c r="G130" t="s">
        <v>29</v>
      </c>
      <c r="H130">
        <v>4</v>
      </c>
      <c r="I130" s="3">
        <v>70</v>
      </c>
      <c r="J130" s="3">
        <v>280</v>
      </c>
      <c r="K130" t="s">
        <v>30</v>
      </c>
      <c r="L130" t="s">
        <v>18</v>
      </c>
    </row>
    <row r="131" spans="1:12" x14ac:dyDescent="0.3">
      <c r="A131">
        <v>11068</v>
      </c>
      <c r="B131" s="2">
        <v>45335</v>
      </c>
      <c r="C131" t="s">
        <v>40</v>
      </c>
      <c r="D131" t="s">
        <v>22</v>
      </c>
      <c r="E131" t="s">
        <v>23</v>
      </c>
      <c r="F131" t="s">
        <v>15</v>
      </c>
      <c r="G131" t="s">
        <v>16</v>
      </c>
      <c r="H131">
        <v>2</v>
      </c>
      <c r="I131" s="3">
        <v>88</v>
      </c>
      <c r="J131" s="3">
        <v>176</v>
      </c>
      <c r="K131" t="s">
        <v>25</v>
      </c>
      <c r="L131" t="s">
        <v>18</v>
      </c>
    </row>
    <row r="132" spans="1:12" x14ac:dyDescent="0.3">
      <c r="A132">
        <v>10602</v>
      </c>
      <c r="B132" s="2">
        <v>45336</v>
      </c>
      <c r="C132" t="s">
        <v>21</v>
      </c>
      <c r="D132" t="s">
        <v>13</v>
      </c>
      <c r="E132" t="s">
        <v>23</v>
      </c>
      <c r="F132" t="s">
        <v>15</v>
      </c>
      <c r="G132" t="s">
        <v>16</v>
      </c>
      <c r="H132">
        <v>3</v>
      </c>
      <c r="I132" s="3">
        <v>125</v>
      </c>
      <c r="J132" s="3">
        <v>375</v>
      </c>
      <c r="K132" t="s">
        <v>30</v>
      </c>
      <c r="L132" t="s">
        <v>33</v>
      </c>
    </row>
    <row r="133" spans="1:12" x14ac:dyDescent="0.3">
      <c r="A133">
        <v>10646</v>
      </c>
      <c r="B133" s="2">
        <v>45336</v>
      </c>
      <c r="C133" t="s">
        <v>12</v>
      </c>
      <c r="D133" t="s">
        <v>42</v>
      </c>
      <c r="E133" t="s">
        <v>14</v>
      </c>
      <c r="F133" t="s">
        <v>15</v>
      </c>
      <c r="G133" t="s">
        <v>24</v>
      </c>
      <c r="H133">
        <v>1</v>
      </c>
      <c r="I133" s="3">
        <v>50</v>
      </c>
      <c r="J133" s="3">
        <v>50</v>
      </c>
      <c r="K133" t="s">
        <v>25</v>
      </c>
      <c r="L133" t="s">
        <v>20</v>
      </c>
    </row>
    <row r="134" spans="1:12" x14ac:dyDescent="0.3">
      <c r="A134">
        <v>10804</v>
      </c>
      <c r="B134" s="2">
        <v>45336</v>
      </c>
      <c r="C134" t="s">
        <v>12</v>
      </c>
      <c r="D134" t="s">
        <v>13</v>
      </c>
      <c r="E134" t="s">
        <v>14</v>
      </c>
      <c r="F134" t="s">
        <v>15</v>
      </c>
      <c r="G134" t="s">
        <v>24</v>
      </c>
      <c r="H134">
        <v>4</v>
      </c>
      <c r="I134" s="3">
        <v>97</v>
      </c>
      <c r="J134" s="3">
        <v>388</v>
      </c>
      <c r="K134" t="s">
        <v>32</v>
      </c>
      <c r="L134" t="s">
        <v>18</v>
      </c>
    </row>
    <row r="135" spans="1:12" x14ac:dyDescent="0.3">
      <c r="A135">
        <v>11158</v>
      </c>
      <c r="B135" s="2">
        <v>45336</v>
      </c>
      <c r="C135" t="s">
        <v>37</v>
      </c>
      <c r="D135" t="s">
        <v>13</v>
      </c>
      <c r="E135" t="s">
        <v>14</v>
      </c>
      <c r="F135" t="s">
        <v>38</v>
      </c>
      <c r="G135" t="s">
        <v>43</v>
      </c>
      <c r="H135">
        <v>5</v>
      </c>
      <c r="I135" s="3">
        <v>59</v>
      </c>
      <c r="J135" s="3">
        <v>295</v>
      </c>
      <c r="K135" t="s">
        <v>30</v>
      </c>
      <c r="L135" t="s">
        <v>18</v>
      </c>
    </row>
    <row r="136" spans="1:12" x14ac:dyDescent="0.3">
      <c r="A136">
        <v>10515</v>
      </c>
      <c r="B136" s="2">
        <v>45337</v>
      </c>
      <c r="C136" t="s">
        <v>21</v>
      </c>
      <c r="D136" t="s">
        <v>26</v>
      </c>
      <c r="E136" t="s">
        <v>23</v>
      </c>
      <c r="F136" t="s">
        <v>38</v>
      </c>
      <c r="G136" t="s">
        <v>39</v>
      </c>
      <c r="H136">
        <v>5</v>
      </c>
      <c r="I136" s="3">
        <v>78</v>
      </c>
      <c r="J136" s="3">
        <v>390</v>
      </c>
      <c r="K136" t="s">
        <v>30</v>
      </c>
      <c r="L136" t="s">
        <v>33</v>
      </c>
    </row>
    <row r="137" spans="1:12" x14ac:dyDescent="0.3">
      <c r="A137">
        <v>10772</v>
      </c>
      <c r="B137" s="2">
        <v>45337</v>
      </c>
      <c r="C137" t="s">
        <v>21</v>
      </c>
      <c r="D137" t="s">
        <v>13</v>
      </c>
      <c r="E137" t="s">
        <v>23</v>
      </c>
      <c r="F137" t="s">
        <v>15</v>
      </c>
      <c r="G137" t="s">
        <v>24</v>
      </c>
      <c r="H137">
        <v>5</v>
      </c>
      <c r="I137" s="3">
        <v>78</v>
      </c>
      <c r="J137" s="3">
        <v>390</v>
      </c>
      <c r="K137" t="s">
        <v>32</v>
      </c>
      <c r="L137" t="s">
        <v>18</v>
      </c>
    </row>
    <row r="138" spans="1:12" x14ac:dyDescent="0.3">
      <c r="A138">
        <v>10792</v>
      </c>
      <c r="B138" s="2">
        <v>45337</v>
      </c>
      <c r="C138" t="s">
        <v>40</v>
      </c>
      <c r="D138" t="s">
        <v>13</v>
      </c>
      <c r="E138" t="s">
        <v>14</v>
      </c>
      <c r="F138" t="s">
        <v>38</v>
      </c>
      <c r="G138" t="s">
        <v>41</v>
      </c>
      <c r="H138">
        <v>2</v>
      </c>
      <c r="I138" s="3">
        <v>122</v>
      </c>
      <c r="J138" s="3">
        <v>244</v>
      </c>
      <c r="K138" t="s">
        <v>30</v>
      </c>
      <c r="L138" t="s">
        <v>27</v>
      </c>
    </row>
    <row r="139" spans="1:12" x14ac:dyDescent="0.3">
      <c r="A139">
        <v>10847</v>
      </c>
      <c r="B139" s="2">
        <v>45337</v>
      </c>
      <c r="C139" t="s">
        <v>12</v>
      </c>
      <c r="D139" t="s">
        <v>26</v>
      </c>
      <c r="E139" t="s">
        <v>23</v>
      </c>
      <c r="F139" t="s">
        <v>38</v>
      </c>
      <c r="G139" t="s">
        <v>41</v>
      </c>
      <c r="H139">
        <v>2</v>
      </c>
      <c r="I139" s="3">
        <v>85</v>
      </c>
      <c r="J139" s="3">
        <v>170</v>
      </c>
      <c r="K139" t="s">
        <v>32</v>
      </c>
      <c r="L139" t="s">
        <v>18</v>
      </c>
    </row>
    <row r="140" spans="1:12" x14ac:dyDescent="0.3">
      <c r="A140">
        <v>10229</v>
      </c>
      <c r="B140" s="2">
        <v>45338</v>
      </c>
      <c r="C140" t="s">
        <v>21</v>
      </c>
      <c r="D140" t="s">
        <v>31</v>
      </c>
      <c r="E140" t="s">
        <v>23</v>
      </c>
      <c r="F140" t="s">
        <v>28</v>
      </c>
      <c r="G140" t="s">
        <v>36</v>
      </c>
      <c r="H140">
        <v>2</v>
      </c>
      <c r="I140" s="3">
        <v>145</v>
      </c>
      <c r="J140" s="3">
        <v>290</v>
      </c>
      <c r="K140" t="s">
        <v>32</v>
      </c>
      <c r="L140" t="s">
        <v>27</v>
      </c>
    </row>
    <row r="141" spans="1:12" x14ac:dyDescent="0.3">
      <c r="A141">
        <v>10418</v>
      </c>
      <c r="B141" s="2">
        <v>45338</v>
      </c>
      <c r="C141" t="s">
        <v>37</v>
      </c>
      <c r="D141" t="s">
        <v>22</v>
      </c>
      <c r="E141" t="s">
        <v>14</v>
      </c>
      <c r="F141" t="s">
        <v>28</v>
      </c>
      <c r="G141" t="s">
        <v>36</v>
      </c>
      <c r="H141">
        <v>5</v>
      </c>
      <c r="I141" s="3">
        <v>20</v>
      </c>
      <c r="J141" s="3">
        <v>100</v>
      </c>
      <c r="K141" t="s">
        <v>30</v>
      </c>
      <c r="L141" t="s">
        <v>33</v>
      </c>
    </row>
    <row r="142" spans="1:12" x14ac:dyDescent="0.3">
      <c r="A142">
        <v>10459</v>
      </c>
      <c r="B142" s="2">
        <v>45338</v>
      </c>
      <c r="C142" t="s">
        <v>21</v>
      </c>
      <c r="D142" t="s">
        <v>26</v>
      </c>
      <c r="E142" t="s">
        <v>14</v>
      </c>
      <c r="F142" t="s">
        <v>28</v>
      </c>
      <c r="G142" t="s">
        <v>29</v>
      </c>
      <c r="H142">
        <v>5</v>
      </c>
      <c r="I142" s="3">
        <v>150</v>
      </c>
      <c r="J142" s="3">
        <v>750</v>
      </c>
      <c r="K142" t="s">
        <v>32</v>
      </c>
      <c r="L142" t="s">
        <v>20</v>
      </c>
    </row>
    <row r="143" spans="1:12" x14ac:dyDescent="0.3">
      <c r="A143">
        <v>10582</v>
      </c>
      <c r="B143" s="2">
        <v>45338</v>
      </c>
      <c r="C143" t="s">
        <v>37</v>
      </c>
      <c r="D143" t="s">
        <v>26</v>
      </c>
      <c r="E143" t="s">
        <v>14</v>
      </c>
      <c r="F143" t="s">
        <v>38</v>
      </c>
      <c r="G143" t="s">
        <v>43</v>
      </c>
      <c r="H143">
        <v>2</v>
      </c>
      <c r="I143" s="3">
        <v>136</v>
      </c>
      <c r="J143" s="3">
        <v>272</v>
      </c>
      <c r="K143" t="s">
        <v>25</v>
      </c>
      <c r="L143" t="s">
        <v>18</v>
      </c>
    </row>
    <row r="144" spans="1:12" x14ac:dyDescent="0.3">
      <c r="A144">
        <v>10795</v>
      </c>
      <c r="B144" s="2">
        <v>45338</v>
      </c>
      <c r="C144" t="s">
        <v>21</v>
      </c>
      <c r="D144" t="s">
        <v>26</v>
      </c>
      <c r="E144" t="s">
        <v>14</v>
      </c>
      <c r="F144" t="s">
        <v>38</v>
      </c>
      <c r="G144" t="s">
        <v>43</v>
      </c>
      <c r="H144">
        <v>5</v>
      </c>
      <c r="I144" s="3">
        <v>128</v>
      </c>
      <c r="J144" s="3">
        <v>640</v>
      </c>
      <c r="K144" t="s">
        <v>30</v>
      </c>
      <c r="L144" t="s">
        <v>27</v>
      </c>
    </row>
    <row r="145" spans="1:12" x14ac:dyDescent="0.3">
      <c r="A145">
        <v>10001</v>
      </c>
      <c r="B145" s="2">
        <v>45339</v>
      </c>
      <c r="C145" t="s">
        <v>12</v>
      </c>
      <c r="D145" t="s">
        <v>13</v>
      </c>
      <c r="E145" t="s">
        <v>14</v>
      </c>
      <c r="F145" t="s">
        <v>15</v>
      </c>
      <c r="G145" t="s">
        <v>19</v>
      </c>
      <c r="H145">
        <v>1</v>
      </c>
      <c r="I145" s="3">
        <v>27</v>
      </c>
      <c r="J145" s="3">
        <v>27</v>
      </c>
      <c r="K145" t="s">
        <v>17</v>
      </c>
      <c r="L145" t="s">
        <v>20</v>
      </c>
    </row>
    <row r="146" spans="1:12" x14ac:dyDescent="0.3">
      <c r="A146">
        <v>10048</v>
      </c>
      <c r="B146" s="2">
        <v>45339</v>
      </c>
      <c r="C146" t="s">
        <v>12</v>
      </c>
      <c r="D146" t="s">
        <v>26</v>
      </c>
      <c r="E146" t="s">
        <v>14</v>
      </c>
      <c r="F146" t="s">
        <v>38</v>
      </c>
      <c r="G146" t="s">
        <v>43</v>
      </c>
      <c r="H146">
        <v>5</v>
      </c>
      <c r="I146" s="3">
        <v>105</v>
      </c>
      <c r="J146" s="3">
        <v>525</v>
      </c>
      <c r="K146" t="s">
        <v>32</v>
      </c>
      <c r="L146" t="s">
        <v>20</v>
      </c>
    </row>
    <row r="147" spans="1:12" x14ac:dyDescent="0.3">
      <c r="A147">
        <v>10409</v>
      </c>
      <c r="B147" s="2">
        <v>45339</v>
      </c>
      <c r="C147" t="s">
        <v>37</v>
      </c>
      <c r="D147" t="s">
        <v>26</v>
      </c>
      <c r="E147" t="s">
        <v>14</v>
      </c>
      <c r="F147" t="s">
        <v>38</v>
      </c>
      <c r="G147" t="s">
        <v>39</v>
      </c>
      <c r="H147">
        <v>4</v>
      </c>
      <c r="I147" s="3">
        <v>88</v>
      </c>
      <c r="J147" s="3">
        <v>352</v>
      </c>
      <c r="K147" t="s">
        <v>25</v>
      </c>
      <c r="L147" t="s">
        <v>27</v>
      </c>
    </row>
    <row r="148" spans="1:12" x14ac:dyDescent="0.3">
      <c r="A148">
        <v>10828</v>
      </c>
      <c r="B148" s="2">
        <v>45339</v>
      </c>
      <c r="C148" t="s">
        <v>37</v>
      </c>
      <c r="D148" t="s">
        <v>22</v>
      </c>
      <c r="E148" t="s">
        <v>23</v>
      </c>
      <c r="F148" t="s">
        <v>15</v>
      </c>
      <c r="G148" t="s">
        <v>24</v>
      </c>
      <c r="H148">
        <v>3</v>
      </c>
      <c r="I148" s="3">
        <v>74</v>
      </c>
      <c r="J148" s="3">
        <v>222</v>
      </c>
      <c r="K148" t="s">
        <v>32</v>
      </c>
      <c r="L148" t="s">
        <v>18</v>
      </c>
    </row>
    <row r="149" spans="1:12" x14ac:dyDescent="0.3">
      <c r="A149">
        <v>11086</v>
      </c>
      <c r="B149" s="2">
        <v>45339</v>
      </c>
      <c r="C149" t="s">
        <v>21</v>
      </c>
      <c r="D149" t="s">
        <v>26</v>
      </c>
      <c r="E149" t="s">
        <v>23</v>
      </c>
      <c r="F149" t="s">
        <v>15</v>
      </c>
      <c r="G149" t="s">
        <v>19</v>
      </c>
      <c r="H149">
        <v>2</v>
      </c>
      <c r="I149" s="3">
        <v>33</v>
      </c>
      <c r="J149" s="3">
        <v>66</v>
      </c>
      <c r="K149" t="s">
        <v>32</v>
      </c>
      <c r="L149" t="s">
        <v>20</v>
      </c>
    </row>
    <row r="150" spans="1:12" x14ac:dyDescent="0.3">
      <c r="A150">
        <v>10871</v>
      </c>
      <c r="B150" s="2">
        <v>45340</v>
      </c>
      <c r="C150" t="s">
        <v>21</v>
      </c>
      <c r="D150" t="s">
        <v>22</v>
      </c>
      <c r="E150" t="s">
        <v>14</v>
      </c>
      <c r="F150" t="s">
        <v>28</v>
      </c>
      <c r="G150" t="s">
        <v>36</v>
      </c>
      <c r="H150">
        <v>5</v>
      </c>
      <c r="I150" s="3">
        <v>132</v>
      </c>
      <c r="J150" s="3">
        <v>660</v>
      </c>
      <c r="K150" t="s">
        <v>25</v>
      </c>
      <c r="L150" t="s">
        <v>18</v>
      </c>
    </row>
    <row r="151" spans="1:12" x14ac:dyDescent="0.3">
      <c r="A151">
        <v>10978</v>
      </c>
      <c r="B151" s="2">
        <v>45341</v>
      </c>
      <c r="C151" t="s">
        <v>37</v>
      </c>
      <c r="D151" t="s">
        <v>42</v>
      </c>
      <c r="E151" t="s">
        <v>14</v>
      </c>
      <c r="F151" t="s">
        <v>38</v>
      </c>
      <c r="G151" t="s">
        <v>43</v>
      </c>
      <c r="H151">
        <v>2</v>
      </c>
      <c r="I151" s="3">
        <v>34</v>
      </c>
      <c r="J151" s="3">
        <v>68</v>
      </c>
      <c r="K151" t="s">
        <v>25</v>
      </c>
      <c r="L151" t="s">
        <v>18</v>
      </c>
    </row>
    <row r="152" spans="1:12" x14ac:dyDescent="0.3">
      <c r="A152">
        <v>11162</v>
      </c>
      <c r="B152" s="2">
        <v>45341</v>
      </c>
      <c r="C152" t="s">
        <v>12</v>
      </c>
      <c r="D152" t="s">
        <v>22</v>
      </c>
      <c r="E152" t="s">
        <v>23</v>
      </c>
      <c r="F152" t="s">
        <v>15</v>
      </c>
      <c r="G152" t="s">
        <v>16</v>
      </c>
      <c r="H152">
        <v>4</v>
      </c>
      <c r="I152" s="3">
        <v>131</v>
      </c>
      <c r="J152" s="3">
        <v>524</v>
      </c>
      <c r="K152" t="s">
        <v>35</v>
      </c>
      <c r="L152" t="s">
        <v>33</v>
      </c>
    </row>
    <row r="153" spans="1:12" x14ac:dyDescent="0.3">
      <c r="A153">
        <v>10127</v>
      </c>
      <c r="B153" s="2">
        <v>45342</v>
      </c>
      <c r="C153" t="s">
        <v>40</v>
      </c>
      <c r="D153" t="s">
        <v>22</v>
      </c>
      <c r="E153" t="s">
        <v>14</v>
      </c>
      <c r="F153" t="s">
        <v>38</v>
      </c>
      <c r="G153" t="s">
        <v>43</v>
      </c>
      <c r="H153">
        <v>5</v>
      </c>
      <c r="I153" s="3">
        <v>130</v>
      </c>
      <c r="J153" s="3">
        <v>650</v>
      </c>
      <c r="K153" t="s">
        <v>30</v>
      </c>
      <c r="L153" t="s">
        <v>27</v>
      </c>
    </row>
    <row r="154" spans="1:12" x14ac:dyDescent="0.3">
      <c r="A154">
        <v>10735</v>
      </c>
      <c r="B154" s="2">
        <v>45342</v>
      </c>
      <c r="C154" t="s">
        <v>40</v>
      </c>
      <c r="D154" t="s">
        <v>31</v>
      </c>
      <c r="E154" t="s">
        <v>23</v>
      </c>
      <c r="F154" t="s">
        <v>28</v>
      </c>
      <c r="G154" t="s">
        <v>36</v>
      </c>
      <c r="H154">
        <v>2</v>
      </c>
      <c r="I154" s="3">
        <v>27</v>
      </c>
      <c r="J154" s="3">
        <v>54</v>
      </c>
      <c r="K154" t="s">
        <v>25</v>
      </c>
      <c r="L154" t="s">
        <v>20</v>
      </c>
    </row>
    <row r="155" spans="1:12" x14ac:dyDescent="0.3">
      <c r="A155">
        <v>10075</v>
      </c>
      <c r="B155" s="2">
        <v>45343</v>
      </c>
      <c r="C155" t="s">
        <v>12</v>
      </c>
      <c r="D155" t="s">
        <v>26</v>
      </c>
      <c r="E155" t="s">
        <v>14</v>
      </c>
      <c r="F155" t="s">
        <v>15</v>
      </c>
      <c r="G155" t="s">
        <v>24</v>
      </c>
      <c r="H155">
        <v>5</v>
      </c>
      <c r="I155" s="3">
        <v>92</v>
      </c>
      <c r="J155" s="3">
        <v>460</v>
      </c>
      <c r="K155" t="s">
        <v>35</v>
      </c>
      <c r="L155" t="s">
        <v>20</v>
      </c>
    </row>
    <row r="156" spans="1:12" x14ac:dyDescent="0.3">
      <c r="A156">
        <v>10814</v>
      </c>
      <c r="B156" s="2">
        <v>45343</v>
      </c>
      <c r="C156" t="s">
        <v>21</v>
      </c>
      <c r="D156" t="s">
        <v>42</v>
      </c>
      <c r="E156" t="s">
        <v>23</v>
      </c>
      <c r="F156" t="s">
        <v>28</v>
      </c>
      <c r="G156" t="s">
        <v>34</v>
      </c>
      <c r="H156">
        <v>2</v>
      </c>
      <c r="I156" s="3">
        <v>145</v>
      </c>
      <c r="J156" s="3">
        <v>290</v>
      </c>
      <c r="K156" t="s">
        <v>32</v>
      </c>
      <c r="L156" t="s">
        <v>20</v>
      </c>
    </row>
    <row r="157" spans="1:12" x14ac:dyDescent="0.3">
      <c r="A157">
        <v>11114</v>
      </c>
      <c r="B157" s="2">
        <v>45344</v>
      </c>
      <c r="C157" t="s">
        <v>37</v>
      </c>
      <c r="D157" t="s">
        <v>13</v>
      </c>
      <c r="E157" t="s">
        <v>14</v>
      </c>
      <c r="F157" t="s">
        <v>28</v>
      </c>
      <c r="G157" t="s">
        <v>34</v>
      </c>
      <c r="H157">
        <v>3</v>
      </c>
      <c r="I157" s="3">
        <v>120</v>
      </c>
      <c r="J157" s="3">
        <v>360</v>
      </c>
      <c r="K157" t="s">
        <v>30</v>
      </c>
      <c r="L157" t="s">
        <v>27</v>
      </c>
    </row>
    <row r="158" spans="1:12" x14ac:dyDescent="0.3">
      <c r="A158">
        <v>10411</v>
      </c>
      <c r="B158" s="2">
        <v>45345</v>
      </c>
      <c r="C158" t="s">
        <v>21</v>
      </c>
      <c r="D158" t="s">
        <v>22</v>
      </c>
      <c r="E158" t="s">
        <v>23</v>
      </c>
      <c r="F158" t="s">
        <v>15</v>
      </c>
      <c r="G158" t="s">
        <v>24</v>
      </c>
      <c r="H158">
        <v>1</v>
      </c>
      <c r="I158" s="3">
        <v>60</v>
      </c>
      <c r="J158" s="3">
        <v>60</v>
      </c>
      <c r="K158" t="s">
        <v>17</v>
      </c>
      <c r="L158" t="s">
        <v>27</v>
      </c>
    </row>
    <row r="159" spans="1:12" x14ac:dyDescent="0.3">
      <c r="A159">
        <v>10671</v>
      </c>
      <c r="B159" s="2">
        <v>45345</v>
      </c>
      <c r="C159" t="s">
        <v>40</v>
      </c>
      <c r="D159" t="s">
        <v>22</v>
      </c>
      <c r="E159" t="s">
        <v>14</v>
      </c>
      <c r="F159" t="s">
        <v>38</v>
      </c>
      <c r="G159" t="s">
        <v>43</v>
      </c>
      <c r="H159">
        <v>4</v>
      </c>
      <c r="I159" s="3">
        <v>31</v>
      </c>
      <c r="J159" s="3">
        <v>124</v>
      </c>
      <c r="K159" t="s">
        <v>32</v>
      </c>
      <c r="L159" t="s">
        <v>18</v>
      </c>
    </row>
    <row r="160" spans="1:12" x14ac:dyDescent="0.3">
      <c r="A160">
        <v>10995</v>
      </c>
      <c r="B160" s="2">
        <v>45345</v>
      </c>
      <c r="C160" t="s">
        <v>40</v>
      </c>
      <c r="D160" t="s">
        <v>13</v>
      </c>
      <c r="E160" t="s">
        <v>23</v>
      </c>
      <c r="F160" t="s">
        <v>28</v>
      </c>
      <c r="G160" t="s">
        <v>29</v>
      </c>
      <c r="H160">
        <v>2</v>
      </c>
      <c r="I160" s="3">
        <v>116</v>
      </c>
      <c r="J160" s="3">
        <v>232</v>
      </c>
      <c r="K160" t="s">
        <v>17</v>
      </c>
      <c r="L160" t="s">
        <v>27</v>
      </c>
    </row>
    <row r="161" spans="1:12" x14ac:dyDescent="0.3">
      <c r="A161">
        <v>10421</v>
      </c>
      <c r="B161" s="2">
        <v>45346</v>
      </c>
      <c r="C161" t="s">
        <v>37</v>
      </c>
      <c r="D161" t="s">
        <v>22</v>
      </c>
      <c r="E161" t="s">
        <v>14</v>
      </c>
      <c r="F161" t="s">
        <v>28</v>
      </c>
      <c r="G161" t="s">
        <v>29</v>
      </c>
      <c r="H161">
        <v>2</v>
      </c>
      <c r="I161" s="3">
        <v>124</v>
      </c>
      <c r="J161" s="3">
        <v>248</v>
      </c>
      <c r="K161" t="s">
        <v>32</v>
      </c>
      <c r="L161" t="s">
        <v>18</v>
      </c>
    </row>
    <row r="162" spans="1:12" x14ac:dyDescent="0.3">
      <c r="A162">
        <v>10542</v>
      </c>
      <c r="B162" s="2">
        <v>45346</v>
      </c>
      <c r="C162" t="s">
        <v>37</v>
      </c>
      <c r="D162" t="s">
        <v>42</v>
      </c>
      <c r="E162" t="s">
        <v>23</v>
      </c>
      <c r="F162" t="s">
        <v>15</v>
      </c>
      <c r="G162" t="s">
        <v>24</v>
      </c>
      <c r="H162">
        <v>5</v>
      </c>
      <c r="I162" s="3">
        <v>126</v>
      </c>
      <c r="J162" s="3">
        <v>630</v>
      </c>
      <c r="K162" t="s">
        <v>25</v>
      </c>
      <c r="L162" t="s">
        <v>20</v>
      </c>
    </row>
    <row r="163" spans="1:12" x14ac:dyDescent="0.3">
      <c r="A163">
        <v>10661</v>
      </c>
      <c r="B163" s="2">
        <v>45346</v>
      </c>
      <c r="C163" t="s">
        <v>40</v>
      </c>
      <c r="D163" t="s">
        <v>42</v>
      </c>
      <c r="E163" t="s">
        <v>14</v>
      </c>
      <c r="F163" t="s">
        <v>15</v>
      </c>
      <c r="G163" t="s">
        <v>16</v>
      </c>
      <c r="H163">
        <v>5</v>
      </c>
      <c r="I163" s="3">
        <v>36</v>
      </c>
      <c r="J163" s="3">
        <v>180</v>
      </c>
      <c r="K163" t="s">
        <v>25</v>
      </c>
      <c r="L163" t="s">
        <v>20</v>
      </c>
    </row>
    <row r="164" spans="1:12" x14ac:dyDescent="0.3">
      <c r="A164">
        <v>10964</v>
      </c>
      <c r="B164" s="2">
        <v>45346</v>
      </c>
      <c r="C164" t="s">
        <v>21</v>
      </c>
      <c r="D164" t="s">
        <v>31</v>
      </c>
      <c r="E164" t="s">
        <v>14</v>
      </c>
      <c r="F164" t="s">
        <v>28</v>
      </c>
      <c r="G164" t="s">
        <v>34</v>
      </c>
      <c r="H164">
        <v>2</v>
      </c>
      <c r="I164" s="3">
        <v>42</v>
      </c>
      <c r="J164" s="3">
        <v>84</v>
      </c>
      <c r="K164" t="s">
        <v>35</v>
      </c>
      <c r="L164" t="s">
        <v>27</v>
      </c>
    </row>
    <row r="165" spans="1:12" x14ac:dyDescent="0.3">
      <c r="A165">
        <v>10132</v>
      </c>
      <c r="B165" s="2">
        <v>45347</v>
      </c>
      <c r="C165" t="s">
        <v>37</v>
      </c>
      <c r="D165" t="s">
        <v>22</v>
      </c>
      <c r="E165" t="s">
        <v>23</v>
      </c>
      <c r="F165" t="s">
        <v>28</v>
      </c>
      <c r="G165" t="s">
        <v>36</v>
      </c>
      <c r="H165">
        <v>4</v>
      </c>
      <c r="I165" s="3">
        <v>77</v>
      </c>
      <c r="J165" s="3">
        <v>308</v>
      </c>
      <c r="K165" t="s">
        <v>25</v>
      </c>
      <c r="L165" t="s">
        <v>33</v>
      </c>
    </row>
    <row r="166" spans="1:12" x14ac:dyDescent="0.3">
      <c r="A166">
        <v>10215</v>
      </c>
      <c r="B166" s="2">
        <v>45347</v>
      </c>
      <c r="C166" t="s">
        <v>12</v>
      </c>
      <c r="D166" t="s">
        <v>13</v>
      </c>
      <c r="E166" t="s">
        <v>14</v>
      </c>
      <c r="F166" t="s">
        <v>15</v>
      </c>
      <c r="G166" t="s">
        <v>24</v>
      </c>
      <c r="H166">
        <v>3</v>
      </c>
      <c r="I166" s="3">
        <v>55</v>
      </c>
      <c r="J166" s="3">
        <v>165</v>
      </c>
      <c r="K166" t="s">
        <v>17</v>
      </c>
      <c r="L166" t="s">
        <v>20</v>
      </c>
    </row>
    <row r="167" spans="1:12" x14ac:dyDescent="0.3">
      <c r="A167">
        <v>10276</v>
      </c>
      <c r="B167" s="2">
        <v>45347</v>
      </c>
      <c r="C167" t="s">
        <v>12</v>
      </c>
      <c r="D167" t="s">
        <v>26</v>
      </c>
      <c r="E167" t="s">
        <v>14</v>
      </c>
      <c r="F167" t="s">
        <v>38</v>
      </c>
      <c r="G167" t="s">
        <v>43</v>
      </c>
      <c r="H167">
        <v>5</v>
      </c>
      <c r="I167" s="3">
        <v>41</v>
      </c>
      <c r="J167" s="3">
        <v>205</v>
      </c>
      <c r="K167" t="s">
        <v>17</v>
      </c>
      <c r="L167" t="s">
        <v>18</v>
      </c>
    </row>
    <row r="168" spans="1:12" x14ac:dyDescent="0.3">
      <c r="A168">
        <v>10167</v>
      </c>
      <c r="B168" s="2">
        <v>45348</v>
      </c>
      <c r="C168" t="s">
        <v>37</v>
      </c>
      <c r="D168" t="s">
        <v>13</v>
      </c>
      <c r="E168" t="s">
        <v>23</v>
      </c>
      <c r="F168" t="s">
        <v>28</v>
      </c>
      <c r="G168" t="s">
        <v>36</v>
      </c>
      <c r="H168">
        <v>5</v>
      </c>
      <c r="I168" s="3">
        <v>128</v>
      </c>
      <c r="J168" s="3">
        <v>640</v>
      </c>
      <c r="K168" t="s">
        <v>25</v>
      </c>
      <c r="L168" t="s">
        <v>18</v>
      </c>
    </row>
    <row r="169" spans="1:12" x14ac:dyDescent="0.3">
      <c r="A169">
        <v>10520</v>
      </c>
      <c r="B169" s="2">
        <v>45348</v>
      </c>
      <c r="C169" t="s">
        <v>21</v>
      </c>
      <c r="D169" t="s">
        <v>22</v>
      </c>
      <c r="E169" t="s">
        <v>23</v>
      </c>
      <c r="F169" t="s">
        <v>28</v>
      </c>
      <c r="G169" t="s">
        <v>34</v>
      </c>
      <c r="H169">
        <v>2</v>
      </c>
      <c r="I169" s="3">
        <v>94</v>
      </c>
      <c r="J169" s="3">
        <v>188</v>
      </c>
      <c r="K169" t="s">
        <v>35</v>
      </c>
      <c r="L169" t="s">
        <v>27</v>
      </c>
    </row>
    <row r="170" spans="1:12" x14ac:dyDescent="0.3">
      <c r="A170">
        <v>10673</v>
      </c>
      <c r="B170" s="2">
        <v>45348</v>
      </c>
      <c r="C170" t="s">
        <v>37</v>
      </c>
      <c r="D170" t="s">
        <v>13</v>
      </c>
      <c r="E170" t="s">
        <v>14</v>
      </c>
      <c r="F170" t="s">
        <v>15</v>
      </c>
      <c r="G170" t="s">
        <v>24</v>
      </c>
      <c r="H170">
        <v>3</v>
      </c>
      <c r="I170" s="3">
        <v>78</v>
      </c>
      <c r="J170" s="3">
        <v>234</v>
      </c>
      <c r="K170" t="s">
        <v>32</v>
      </c>
      <c r="L170" t="s">
        <v>27</v>
      </c>
    </row>
    <row r="171" spans="1:12" x14ac:dyDescent="0.3">
      <c r="A171">
        <v>10372</v>
      </c>
      <c r="B171" s="2">
        <v>45349</v>
      </c>
      <c r="C171" t="s">
        <v>21</v>
      </c>
      <c r="D171" t="s">
        <v>13</v>
      </c>
      <c r="E171" t="s">
        <v>14</v>
      </c>
      <c r="F171" t="s">
        <v>28</v>
      </c>
      <c r="G171" t="s">
        <v>36</v>
      </c>
      <c r="H171">
        <v>5</v>
      </c>
      <c r="I171" s="3">
        <v>127</v>
      </c>
      <c r="J171" s="3">
        <v>635</v>
      </c>
      <c r="K171" t="s">
        <v>17</v>
      </c>
      <c r="L171" t="s">
        <v>18</v>
      </c>
    </row>
    <row r="172" spans="1:12" x14ac:dyDescent="0.3">
      <c r="A172">
        <v>10559</v>
      </c>
      <c r="B172" s="2">
        <v>45349</v>
      </c>
      <c r="C172" t="s">
        <v>40</v>
      </c>
      <c r="D172" t="s">
        <v>13</v>
      </c>
      <c r="E172" t="s">
        <v>14</v>
      </c>
      <c r="F172" t="s">
        <v>15</v>
      </c>
      <c r="G172" t="s">
        <v>19</v>
      </c>
      <c r="H172">
        <v>2</v>
      </c>
      <c r="I172" s="3">
        <v>41</v>
      </c>
      <c r="J172" s="3">
        <v>82</v>
      </c>
      <c r="K172" t="s">
        <v>35</v>
      </c>
      <c r="L172" t="s">
        <v>18</v>
      </c>
    </row>
    <row r="173" spans="1:12" x14ac:dyDescent="0.3">
      <c r="A173">
        <v>10603</v>
      </c>
      <c r="B173" s="2">
        <v>45349</v>
      </c>
      <c r="C173" t="s">
        <v>37</v>
      </c>
      <c r="D173" t="s">
        <v>31</v>
      </c>
      <c r="E173" t="s">
        <v>14</v>
      </c>
      <c r="F173" t="s">
        <v>28</v>
      </c>
      <c r="G173" t="s">
        <v>36</v>
      </c>
      <c r="H173">
        <v>3</v>
      </c>
      <c r="I173" s="3">
        <v>64</v>
      </c>
      <c r="J173" s="3">
        <v>192</v>
      </c>
      <c r="K173" t="s">
        <v>25</v>
      </c>
      <c r="L173" t="s">
        <v>27</v>
      </c>
    </row>
    <row r="174" spans="1:12" x14ac:dyDescent="0.3">
      <c r="A174">
        <v>10691</v>
      </c>
      <c r="B174" s="2">
        <v>45349</v>
      </c>
      <c r="C174" t="s">
        <v>12</v>
      </c>
      <c r="D174" t="s">
        <v>42</v>
      </c>
      <c r="E174" t="s">
        <v>14</v>
      </c>
      <c r="F174" t="s">
        <v>28</v>
      </c>
      <c r="G174" t="s">
        <v>34</v>
      </c>
      <c r="H174">
        <v>2</v>
      </c>
      <c r="I174" s="3">
        <v>90</v>
      </c>
      <c r="J174" s="3">
        <v>180</v>
      </c>
      <c r="K174" t="s">
        <v>32</v>
      </c>
      <c r="L174" t="s">
        <v>18</v>
      </c>
    </row>
    <row r="175" spans="1:12" x14ac:dyDescent="0.3">
      <c r="A175">
        <v>10093</v>
      </c>
      <c r="B175" s="2">
        <v>45350</v>
      </c>
      <c r="C175" t="s">
        <v>21</v>
      </c>
      <c r="D175" t="s">
        <v>31</v>
      </c>
      <c r="E175" t="s">
        <v>14</v>
      </c>
      <c r="F175" t="s">
        <v>15</v>
      </c>
      <c r="G175" t="s">
        <v>19</v>
      </c>
      <c r="H175">
        <v>1</v>
      </c>
      <c r="I175" s="3">
        <v>77</v>
      </c>
      <c r="J175" s="3">
        <v>77</v>
      </c>
      <c r="K175" t="s">
        <v>30</v>
      </c>
      <c r="L175" t="s">
        <v>33</v>
      </c>
    </row>
    <row r="176" spans="1:12" x14ac:dyDescent="0.3">
      <c r="A176">
        <v>10850</v>
      </c>
      <c r="B176" s="2">
        <v>45350</v>
      </c>
      <c r="C176" t="s">
        <v>37</v>
      </c>
      <c r="D176" t="s">
        <v>31</v>
      </c>
      <c r="E176" t="s">
        <v>23</v>
      </c>
      <c r="F176" t="s">
        <v>38</v>
      </c>
      <c r="G176" t="s">
        <v>43</v>
      </c>
      <c r="H176">
        <v>5</v>
      </c>
      <c r="I176" s="3">
        <v>118</v>
      </c>
      <c r="J176" s="3">
        <v>590</v>
      </c>
      <c r="K176" t="s">
        <v>30</v>
      </c>
      <c r="L176" t="s">
        <v>27</v>
      </c>
    </row>
    <row r="177" spans="1:12" x14ac:dyDescent="0.3">
      <c r="A177">
        <v>10918</v>
      </c>
      <c r="B177" s="2">
        <v>45350</v>
      </c>
      <c r="C177" t="s">
        <v>12</v>
      </c>
      <c r="D177" t="s">
        <v>26</v>
      </c>
      <c r="E177" t="s">
        <v>23</v>
      </c>
      <c r="F177" t="s">
        <v>38</v>
      </c>
      <c r="G177" t="s">
        <v>41</v>
      </c>
      <c r="H177">
        <v>1</v>
      </c>
      <c r="I177" s="3">
        <v>84</v>
      </c>
      <c r="J177" s="3">
        <v>84</v>
      </c>
      <c r="K177" t="s">
        <v>30</v>
      </c>
      <c r="L177" t="s">
        <v>27</v>
      </c>
    </row>
    <row r="178" spans="1:12" x14ac:dyDescent="0.3">
      <c r="A178">
        <v>11089</v>
      </c>
      <c r="B178" s="2">
        <v>45350</v>
      </c>
      <c r="C178" t="s">
        <v>21</v>
      </c>
      <c r="D178" t="s">
        <v>26</v>
      </c>
      <c r="E178" t="s">
        <v>14</v>
      </c>
      <c r="F178" t="s">
        <v>38</v>
      </c>
      <c r="G178" t="s">
        <v>41</v>
      </c>
      <c r="H178">
        <v>4</v>
      </c>
      <c r="I178" s="3">
        <v>101</v>
      </c>
      <c r="J178" s="3">
        <v>404</v>
      </c>
      <c r="K178" t="s">
        <v>30</v>
      </c>
      <c r="L178" t="s">
        <v>20</v>
      </c>
    </row>
    <row r="179" spans="1:12" x14ac:dyDescent="0.3">
      <c r="A179">
        <v>11093</v>
      </c>
      <c r="B179" s="2">
        <v>45350</v>
      </c>
      <c r="C179" t="s">
        <v>12</v>
      </c>
      <c r="D179" t="s">
        <v>42</v>
      </c>
      <c r="E179" t="s">
        <v>23</v>
      </c>
      <c r="F179" t="s">
        <v>38</v>
      </c>
      <c r="G179" t="s">
        <v>43</v>
      </c>
      <c r="H179">
        <v>4</v>
      </c>
      <c r="I179" s="3">
        <v>105</v>
      </c>
      <c r="J179" s="3">
        <v>420</v>
      </c>
      <c r="K179" t="s">
        <v>35</v>
      </c>
      <c r="L179" t="s">
        <v>20</v>
      </c>
    </row>
    <row r="180" spans="1:12" x14ac:dyDescent="0.3">
      <c r="A180">
        <v>11141</v>
      </c>
      <c r="B180" s="2">
        <v>45350</v>
      </c>
      <c r="C180" t="s">
        <v>40</v>
      </c>
      <c r="D180" t="s">
        <v>31</v>
      </c>
      <c r="E180" t="s">
        <v>23</v>
      </c>
      <c r="F180" t="s">
        <v>15</v>
      </c>
      <c r="G180" t="s">
        <v>16</v>
      </c>
      <c r="H180">
        <v>1</v>
      </c>
      <c r="I180" s="3">
        <v>76</v>
      </c>
      <c r="J180" s="3">
        <v>76</v>
      </c>
      <c r="K180" t="s">
        <v>32</v>
      </c>
      <c r="L180" t="s">
        <v>18</v>
      </c>
    </row>
    <row r="181" spans="1:12" x14ac:dyDescent="0.3">
      <c r="A181">
        <v>11181</v>
      </c>
      <c r="B181" s="2">
        <v>45350</v>
      </c>
      <c r="C181" t="s">
        <v>40</v>
      </c>
      <c r="D181" t="s">
        <v>31</v>
      </c>
      <c r="E181" t="s">
        <v>23</v>
      </c>
      <c r="F181" t="s">
        <v>28</v>
      </c>
      <c r="G181" t="s">
        <v>34</v>
      </c>
      <c r="H181">
        <v>5</v>
      </c>
      <c r="I181" s="3">
        <v>84</v>
      </c>
      <c r="J181" s="3">
        <v>420</v>
      </c>
      <c r="K181" t="s">
        <v>35</v>
      </c>
      <c r="L181" t="s">
        <v>18</v>
      </c>
    </row>
    <row r="182" spans="1:12" x14ac:dyDescent="0.3">
      <c r="A182">
        <v>10408</v>
      </c>
      <c r="B182" s="2">
        <v>45351</v>
      </c>
      <c r="C182" t="s">
        <v>40</v>
      </c>
      <c r="D182" t="s">
        <v>31</v>
      </c>
      <c r="E182" t="s">
        <v>14</v>
      </c>
      <c r="F182" t="s">
        <v>38</v>
      </c>
      <c r="G182" t="s">
        <v>39</v>
      </c>
      <c r="H182">
        <v>3</v>
      </c>
      <c r="I182" s="3">
        <v>129</v>
      </c>
      <c r="J182" s="3">
        <v>387</v>
      </c>
      <c r="K182" t="s">
        <v>32</v>
      </c>
      <c r="L182" t="s">
        <v>20</v>
      </c>
    </row>
    <row r="183" spans="1:12" x14ac:dyDescent="0.3">
      <c r="A183">
        <v>10079</v>
      </c>
      <c r="B183" s="2">
        <v>45352</v>
      </c>
      <c r="C183" t="s">
        <v>21</v>
      </c>
      <c r="D183" t="s">
        <v>22</v>
      </c>
      <c r="E183" t="s">
        <v>14</v>
      </c>
      <c r="F183" t="s">
        <v>15</v>
      </c>
      <c r="G183" t="s">
        <v>19</v>
      </c>
      <c r="H183">
        <v>1</v>
      </c>
      <c r="I183" s="3">
        <v>83</v>
      </c>
      <c r="J183" s="3">
        <v>83</v>
      </c>
      <c r="K183" t="s">
        <v>17</v>
      </c>
      <c r="L183" t="s">
        <v>27</v>
      </c>
    </row>
    <row r="184" spans="1:12" x14ac:dyDescent="0.3">
      <c r="A184">
        <v>10295</v>
      </c>
      <c r="B184" s="2">
        <v>45352</v>
      </c>
      <c r="C184" t="s">
        <v>12</v>
      </c>
      <c r="D184" t="s">
        <v>13</v>
      </c>
      <c r="E184" t="s">
        <v>23</v>
      </c>
      <c r="F184" t="s">
        <v>38</v>
      </c>
      <c r="G184" t="s">
        <v>39</v>
      </c>
      <c r="H184">
        <v>1</v>
      </c>
      <c r="I184" s="3">
        <v>132</v>
      </c>
      <c r="J184" s="3">
        <v>132</v>
      </c>
      <c r="K184" t="s">
        <v>17</v>
      </c>
      <c r="L184" t="s">
        <v>27</v>
      </c>
    </row>
    <row r="185" spans="1:12" x14ac:dyDescent="0.3">
      <c r="A185">
        <v>10417</v>
      </c>
      <c r="B185" s="2">
        <v>45352</v>
      </c>
      <c r="C185" t="s">
        <v>21</v>
      </c>
      <c r="D185" t="s">
        <v>31</v>
      </c>
      <c r="E185" t="s">
        <v>14</v>
      </c>
      <c r="F185" t="s">
        <v>28</v>
      </c>
      <c r="G185" t="s">
        <v>29</v>
      </c>
      <c r="H185">
        <v>4</v>
      </c>
      <c r="I185" s="3">
        <v>100</v>
      </c>
      <c r="J185" s="3">
        <v>400</v>
      </c>
      <c r="K185" t="s">
        <v>30</v>
      </c>
      <c r="L185" t="s">
        <v>27</v>
      </c>
    </row>
    <row r="186" spans="1:12" x14ac:dyDescent="0.3">
      <c r="A186">
        <v>10473</v>
      </c>
      <c r="B186" s="2">
        <v>45352</v>
      </c>
      <c r="C186" t="s">
        <v>40</v>
      </c>
      <c r="D186" t="s">
        <v>42</v>
      </c>
      <c r="E186" t="s">
        <v>14</v>
      </c>
      <c r="F186" t="s">
        <v>15</v>
      </c>
      <c r="G186" t="s">
        <v>24</v>
      </c>
      <c r="H186">
        <v>1</v>
      </c>
      <c r="I186" s="3">
        <v>148</v>
      </c>
      <c r="J186" s="3">
        <v>148</v>
      </c>
      <c r="K186" t="s">
        <v>17</v>
      </c>
      <c r="L186" t="s">
        <v>18</v>
      </c>
    </row>
    <row r="187" spans="1:12" x14ac:dyDescent="0.3">
      <c r="A187">
        <v>10720</v>
      </c>
      <c r="B187" s="2">
        <v>45352</v>
      </c>
      <c r="C187" t="s">
        <v>12</v>
      </c>
      <c r="D187" t="s">
        <v>13</v>
      </c>
      <c r="E187" t="s">
        <v>14</v>
      </c>
      <c r="F187" t="s">
        <v>28</v>
      </c>
      <c r="G187" t="s">
        <v>36</v>
      </c>
      <c r="H187">
        <v>3</v>
      </c>
      <c r="I187" s="3">
        <v>27</v>
      </c>
      <c r="J187" s="3">
        <v>81</v>
      </c>
      <c r="K187" t="s">
        <v>32</v>
      </c>
      <c r="L187" t="s">
        <v>33</v>
      </c>
    </row>
    <row r="188" spans="1:12" x14ac:dyDescent="0.3">
      <c r="A188">
        <v>10836</v>
      </c>
      <c r="B188" s="2">
        <v>45352</v>
      </c>
      <c r="C188" t="s">
        <v>21</v>
      </c>
      <c r="D188" t="s">
        <v>31</v>
      </c>
      <c r="E188" t="s">
        <v>14</v>
      </c>
      <c r="F188" t="s">
        <v>38</v>
      </c>
      <c r="G188" t="s">
        <v>41</v>
      </c>
      <c r="H188">
        <v>2</v>
      </c>
      <c r="I188" s="3">
        <v>114</v>
      </c>
      <c r="J188" s="3">
        <v>228</v>
      </c>
      <c r="K188" t="s">
        <v>35</v>
      </c>
      <c r="L188" t="s">
        <v>33</v>
      </c>
    </row>
    <row r="189" spans="1:12" x14ac:dyDescent="0.3">
      <c r="A189">
        <v>11187</v>
      </c>
      <c r="B189" s="2">
        <v>45352</v>
      </c>
      <c r="C189" t="s">
        <v>21</v>
      </c>
      <c r="D189" t="s">
        <v>13</v>
      </c>
      <c r="E189" t="s">
        <v>14</v>
      </c>
      <c r="F189" t="s">
        <v>28</v>
      </c>
      <c r="G189" t="s">
        <v>36</v>
      </c>
      <c r="H189">
        <v>3</v>
      </c>
      <c r="I189" s="3">
        <v>45</v>
      </c>
      <c r="J189" s="3">
        <v>135</v>
      </c>
      <c r="K189" t="s">
        <v>17</v>
      </c>
      <c r="L189" t="s">
        <v>33</v>
      </c>
    </row>
    <row r="190" spans="1:12" x14ac:dyDescent="0.3">
      <c r="A190">
        <v>10074</v>
      </c>
      <c r="B190" s="2">
        <v>45353</v>
      </c>
      <c r="C190" t="s">
        <v>12</v>
      </c>
      <c r="D190" t="s">
        <v>13</v>
      </c>
      <c r="E190" t="s">
        <v>14</v>
      </c>
      <c r="F190" t="s">
        <v>28</v>
      </c>
      <c r="G190" t="s">
        <v>36</v>
      </c>
      <c r="H190">
        <v>2</v>
      </c>
      <c r="I190" s="3">
        <v>100</v>
      </c>
      <c r="J190" s="3">
        <v>200</v>
      </c>
      <c r="K190" t="s">
        <v>30</v>
      </c>
      <c r="L190" t="s">
        <v>33</v>
      </c>
    </row>
    <row r="191" spans="1:12" x14ac:dyDescent="0.3">
      <c r="A191">
        <v>10495</v>
      </c>
      <c r="B191" s="2">
        <v>45353</v>
      </c>
      <c r="C191" t="s">
        <v>40</v>
      </c>
      <c r="D191" t="s">
        <v>42</v>
      </c>
      <c r="E191" t="s">
        <v>14</v>
      </c>
      <c r="F191" t="s">
        <v>15</v>
      </c>
      <c r="G191" t="s">
        <v>19</v>
      </c>
      <c r="H191">
        <v>2</v>
      </c>
      <c r="I191" s="3">
        <v>47</v>
      </c>
      <c r="J191" s="3">
        <v>94</v>
      </c>
      <c r="K191" t="s">
        <v>17</v>
      </c>
      <c r="L191" t="s">
        <v>18</v>
      </c>
    </row>
    <row r="192" spans="1:12" x14ac:dyDescent="0.3">
      <c r="A192">
        <v>10498</v>
      </c>
      <c r="B192" s="2">
        <v>45353</v>
      </c>
      <c r="C192" t="s">
        <v>21</v>
      </c>
      <c r="D192" t="s">
        <v>26</v>
      </c>
      <c r="E192" t="s">
        <v>14</v>
      </c>
      <c r="F192" t="s">
        <v>38</v>
      </c>
      <c r="G192" t="s">
        <v>43</v>
      </c>
      <c r="H192">
        <v>2</v>
      </c>
      <c r="I192" s="3">
        <v>137</v>
      </c>
      <c r="J192" s="3">
        <v>274</v>
      </c>
      <c r="K192" t="s">
        <v>25</v>
      </c>
      <c r="L192" t="s">
        <v>20</v>
      </c>
    </row>
    <row r="193" spans="1:12" x14ac:dyDescent="0.3">
      <c r="A193">
        <v>10662</v>
      </c>
      <c r="B193" s="2">
        <v>45353</v>
      </c>
      <c r="C193" t="s">
        <v>12</v>
      </c>
      <c r="D193" t="s">
        <v>26</v>
      </c>
      <c r="E193" t="s">
        <v>14</v>
      </c>
      <c r="F193" t="s">
        <v>38</v>
      </c>
      <c r="G193" t="s">
        <v>39</v>
      </c>
      <c r="H193">
        <v>4</v>
      </c>
      <c r="I193" s="3">
        <v>103</v>
      </c>
      <c r="J193" s="3">
        <v>412</v>
      </c>
      <c r="K193" t="s">
        <v>25</v>
      </c>
      <c r="L193" t="s">
        <v>20</v>
      </c>
    </row>
    <row r="194" spans="1:12" x14ac:dyDescent="0.3">
      <c r="A194">
        <v>10731</v>
      </c>
      <c r="B194" s="2">
        <v>45353</v>
      </c>
      <c r="C194" t="s">
        <v>12</v>
      </c>
      <c r="D194" t="s">
        <v>42</v>
      </c>
      <c r="E194" t="s">
        <v>23</v>
      </c>
      <c r="F194" t="s">
        <v>38</v>
      </c>
      <c r="G194" t="s">
        <v>39</v>
      </c>
      <c r="H194">
        <v>5</v>
      </c>
      <c r="I194" s="3">
        <v>41</v>
      </c>
      <c r="J194" s="3">
        <v>205</v>
      </c>
      <c r="K194" t="s">
        <v>17</v>
      </c>
      <c r="L194" t="s">
        <v>18</v>
      </c>
    </row>
    <row r="195" spans="1:12" x14ac:dyDescent="0.3">
      <c r="A195">
        <v>10849</v>
      </c>
      <c r="B195" s="2">
        <v>45353</v>
      </c>
      <c r="C195" t="s">
        <v>40</v>
      </c>
      <c r="D195" t="s">
        <v>13</v>
      </c>
      <c r="E195" t="s">
        <v>14</v>
      </c>
      <c r="F195" t="s">
        <v>38</v>
      </c>
      <c r="G195" t="s">
        <v>39</v>
      </c>
      <c r="H195">
        <v>3</v>
      </c>
      <c r="I195" s="3">
        <v>116</v>
      </c>
      <c r="J195" s="3">
        <v>348</v>
      </c>
      <c r="K195" t="s">
        <v>17</v>
      </c>
      <c r="L195" t="s">
        <v>20</v>
      </c>
    </row>
    <row r="196" spans="1:12" x14ac:dyDescent="0.3">
      <c r="A196">
        <v>11122</v>
      </c>
      <c r="B196" s="2">
        <v>45353</v>
      </c>
      <c r="C196" t="s">
        <v>40</v>
      </c>
      <c r="D196" t="s">
        <v>42</v>
      </c>
      <c r="E196" t="s">
        <v>14</v>
      </c>
      <c r="F196" t="s">
        <v>38</v>
      </c>
      <c r="G196" t="s">
        <v>41</v>
      </c>
      <c r="H196">
        <v>3</v>
      </c>
      <c r="I196" s="3">
        <v>127</v>
      </c>
      <c r="J196" s="3">
        <v>381</v>
      </c>
      <c r="K196" t="s">
        <v>17</v>
      </c>
      <c r="L196" t="s">
        <v>33</v>
      </c>
    </row>
    <row r="197" spans="1:12" x14ac:dyDescent="0.3">
      <c r="A197">
        <v>10119</v>
      </c>
      <c r="B197" s="2">
        <v>45354</v>
      </c>
      <c r="C197" t="s">
        <v>21</v>
      </c>
      <c r="D197" t="s">
        <v>31</v>
      </c>
      <c r="E197" t="s">
        <v>14</v>
      </c>
      <c r="F197" t="s">
        <v>28</v>
      </c>
      <c r="G197" t="s">
        <v>29</v>
      </c>
      <c r="H197">
        <v>3</v>
      </c>
      <c r="I197" s="3">
        <v>68</v>
      </c>
      <c r="J197" s="3">
        <v>204</v>
      </c>
      <c r="K197" t="s">
        <v>17</v>
      </c>
      <c r="L197" t="s">
        <v>18</v>
      </c>
    </row>
    <row r="198" spans="1:12" x14ac:dyDescent="0.3">
      <c r="A198">
        <v>10184</v>
      </c>
      <c r="B198" s="2">
        <v>45354</v>
      </c>
      <c r="C198" t="s">
        <v>12</v>
      </c>
      <c r="D198" t="s">
        <v>31</v>
      </c>
      <c r="E198" t="s">
        <v>23</v>
      </c>
      <c r="F198" t="s">
        <v>15</v>
      </c>
      <c r="G198" t="s">
        <v>19</v>
      </c>
      <c r="H198">
        <v>4</v>
      </c>
      <c r="I198" s="3">
        <v>71</v>
      </c>
      <c r="J198" s="3">
        <v>284</v>
      </c>
      <c r="K198" t="s">
        <v>32</v>
      </c>
      <c r="L198" t="s">
        <v>27</v>
      </c>
    </row>
    <row r="199" spans="1:12" x14ac:dyDescent="0.3">
      <c r="A199">
        <v>10213</v>
      </c>
      <c r="B199" s="2">
        <v>45354</v>
      </c>
      <c r="C199" t="s">
        <v>21</v>
      </c>
      <c r="D199" t="s">
        <v>42</v>
      </c>
      <c r="E199" t="s">
        <v>23</v>
      </c>
      <c r="F199" t="s">
        <v>38</v>
      </c>
      <c r="G199" t="s">
        <v>43</v>
      </c>
      <c r="H199">
        <v>3</v>
      </c>
      <c r="I199" s="3">
        <v>93</v>
      </c>
      <c r="J199" s="3">
        <v>279</v>
      </c>
      <c r="K199" t="s">
        <v>32</v>
      </c>
      <c r="L199" t="s">
        <v>33</v>
      </c>
    </row>
    <row r="200" spans="1:12" x14ac:dyDescent="0.3">
      <c r="A200">
        <v>10339</v>
      </c>
      <c r="B200" s="2">
        <v>45354</v>
      </c>
      <c r="C200" t="s">
        <v>40</v>
      </c>
      <c r="D200" t="s">
        <v>31</v>
      </c>
      <c r="E200" t="s">
        <v>14</v>
      </c>
      <c r="F200" t="s">
        <v>28</v>
      </c>
      <c r="G200" t="s">
        <v>29</v>
      </c>
      <c r="H200">
        <v>1</v>
      </c>
      <c r="I200" s="3">
        <v>55</v>
      </c>
      <c r="J200" s="3">
        <v>55</v>
      </c>
      <c r="K200" t="s">
        <v>32</v>
      </c>
      <c r="L200" t="s">
        <v>20</v>
      </c>
    </row>
    <row r="201" spans="1:12" x14ac:dyDescent="0.3">
      <c r="A201">
        <v>10820</v>
      </c>
      <c r="B201" s="2">
        <v>45354</v>
      </c>
      <c r="C201" t="s">
        <v>12</v>
      </c>
      <c r="D201" t="s">
        <v>42</v>
      </c>
      <c r="E201" t="s">
        <v>23</v>
      </c>
      <c r="F201" t="s">
        <v>15</v>
      </c>
      <c r="G201" t="s">
        <v>19</v>
      </c>
      <c r="H201">
        <v>3</v>
      </c>
      <c r="I201" s="3">
        <v>55</v>
      </c>
      <c r="J201" s="3">
        <v>165</v>
      </c>
      <c r="K201" t="s">
        <v>25</v>
      </c>
      <c r="L201" t="s">
        <v>20</v>
      </c>
    </row>
    <row r="202" spans="1:12" x14ac:dyDescent="0.3">
      <c r="A202">
        <v>10303</v>
      </c>
      <c r="B202" s="2">
        <v>45355</v>
      </c>
      <c r="C202" t="s">
        <v>12</v>
      </c>
      <c r="D202" t="s">
        <v>42</v>
      </c>
      <c r="E202" t="s">
        <v>23</v>
      </c>
      <c r="F202" t="s">
        <v>28</v>
      </c>
      <c r="G202" t="s">
        <v>34</v>
      </c>
      <c r="H202">
        <v>4</v>
      </c>
      <c r="I202" s="3">
        <v>24</v>
      </c>
      <c r="J202" s="3">
        <v>96</v>
      </c>
      <c r="K202" t="s">
        <v>25</v>
      </c>
      <c r="L202" t="s">
        <v>27</v>
      </c>
    </row>
    <row r="203" spans="1:12" x14ac:dyDescent="0.3">
      <c r="A203">
        <v>10723</v>
      </c>
      <c r="B203" s="2">
        <v>45355</v>
      </c>
      <c r="C203" t="s">
        <v>12</v>
      </c>
      <c r="D203" t="s">
        <v>22</v>
      </c>
      <c r="E203" t="s">
        <v>14</v>
      </c>
      <c r="F203" t="s">
        <v>28</v>
      </c>
      <c r="G203" t="s">
        <v>29</v>
      </c>
      <c r="H203">
        <v>1</v>
      </c>
      <c r="I203" s="3">
        <v>44</v>
      </c>
      <c r="J203" s="3">
        <v>44</v>
      </c>
      <c r="K203" t="s">
        <v>32</v>
      </c>
      <c r="L203" t="s">
        <v>33</v>
      </c>
    </row>
    <row r="204" spans="1:12" x14ac:dyDescent="0.3">
      <c r="A204">
        <v>10786</v>
      </c>
      <c r="B204" s="2">
        <v>45355</v>
      </c>
      <c r="C204" t="s">
        <v>37</v>
      </c>
      <c r="D204" t="s">
        <v>31</v>
      </c>
      <c r="E204" t="s">
        <v>14</v>
      </c>
      <c r="F204" t="s">
        <v>38</v>
      </c>
      <c r="G204" t="s">
        <v>39</v>
      </c>
      <c r="H204">
        <v>1</v>
      </c>
      <c r="I204" s="3">
        <v>57</v>
      </c>
      <c r="J204" s="3">
        <v>57</v>
      </c>
      <c r="K204" t="s">
        <v>35</v>
      </c>
      <c r="L204" t="s">
        <v>20</v>
      </c>
    </row>
    <row r="205" spans="1:12" x14ac:dyDescent="0.3">
      <c r="A205">
        <v>10830</v>
      </c>
      <c r="B205" s="2">
        <v>45355</v>
      </c>
      <c r="C205" t="s">
        <v>40</v>
      </c>
      <c r="D205" t="s">
        <v>31</v>
      </c>
      <c r="E205" t="s">
        <v>23</v>
      </c>
      <c r="F205" t="s">
        <v>38</v>
      </c>
      <c r="G205" t="s">
        <v>43</v>
      </c>
      <c r="H205">
        <v>5</v>
      </c>
      <c r="I205" s="3">
        <v>110</v>
      </c>
      <c r="J205" s="3">
        <v>550</v>
      </c>
      <c r="K205" t="s">
        <v>35</v>
      </c>
      <c r="L205" t="s">
        <v>18</v>
      </c>
    </row>
    <row r="206" spans="1:12" x14ac:dyDescent="0.3">
      <c r="A206">
        <v>11092</v>
      </c>
      <c r="B206" s="2">
        <v>45355</v>
      </c>
      <c r="C206" t="s">
        <v>21</v>
      </c>
      <c r="D206" t="s">
        <v>42</v>
      </c>
      <c r="E206" t="s">
        <v>23</v>
      </c>
      <c r="F206" t="s">
        <v>28</v>
      </c>
      <c r="G206" t="s">
        <v>29</v>
      </c>
      <c r="H206">
        <v>3</v>
      </c>
      <c r="I206" s="3">
        <v>148</v>
      </c>
      <c r="J206" s="3">
        <v>444</v>
      </c>
      <c r="K206" t="s">
        <v>30</v>
      </c>
      <c r="L206" t="s">
        <v>33</v>
      </c>
    </row>
    <row r="207" spans="1:12" x14ac:dyDescent="0.3">
      <c r="A207">
        <v>10180</v>
      </c>
      <c r="B207" s="2">
        <v>45356</v>
      </c>
      <c r="C207" t="s">
        <v>40</v>
      </c>
      <c r="D207" t="s">
        <v>13</v>
      </c>
      <c r="E207" t="s">
        <v>23</v>
      </c>
      <c r="F207" t="s">
        <v>15</v>
      </c>
      <c r="G207" t="s">
        <v>24</v>
      </c>
      <c r="H207">
        <v>4</v>
      </c>
      <c r="I207" s="3">
        <v>28</v>
      </c>
      <c r="J207" s="3">
        <v>112</v>
      </c>
      <c r="K207" t="s">
        <v>35</v>
      </c>
      <c r="L207" t="s">
        <v>27</v>
      </c>
    </row>
    <row r="208" spans="1:12" x14ac:dyDescent="0.3">
      <c r="A208">
        <v>10191</v>
      </c>
      <c r="B208" s="2">
        <v>45356</v>
      </c>
      <c r="C208" t="s">
        <v>37</v>
      </c>
      <c r="D208" t="s">
        <v>22</v>
      </c>
      <c r="E208" t="s">
        <v>14</v>
      </c>
      <c r="F208" t="s">
        <v>28</v>
      </c>
      <c r="G208" t="s">
        <v>29</v>
      </c>
      <c r="H208">
        <v>2</v>
      </c>
      <c r="I208" s="3">
        <v>90</v>
      </c>
      <c r="J208" s="3">
        <v>180</v>
      </c>
      <c r="K208" t="s">
        <v>17</v>
      </c>
      <c r="L208" t="s">
        <v>20</v>
      </c>
    </row>
    <row r="209" spans="1:12" x14ac:dyDescent="0.3">
      <c r="A209">
        <v>10189</v>
      </c>
      <c r="B209" s="2">
        <v>45357</v>
      </c>
      <c r="C209" t="s">
        <v>12</v>
      </c>
      <c r="D209" t="s">
        <v>13</v>
      </c>
      <c r="E209" t="s">
        <v>23</v>
      </c>
      <c r="F209" t="s">
        <v>38</v>
      </c>
      <c r="G209" t="s">
        <v>43</v>
      </c>
      <c r="H209">
        <v>5</v>
      </c>
      <c r="I209" s="3">
        <v>108</v>
      </c>
      <c r="J209" s="3">
        <v>540</v>
      </c>
      <c r="K209" t="s">
        <v>17</v>
      </c>
      <c r="L209" t="s">
        <v>18</v>
      </c>
    </row>
    <row r="210" spans="1:12" x14ac:dyDescent="0.3">
      <c r="A210">
        <v>10203</v>
      </c>
      <c r="B210" s="2">
        <v>45357</v>
      </c>
      <c r="C210" t="s">
        <v>40</v>
      </c>
      <c r="D210" t="s">
        <v>42</v>
      </c>
      <c r="E210" t="s">
        <v>23</v>
      </c>
      <c r="F210" t="s">
        <v>15</v>
      </c>
      <c r="G210" t="s">
        <v>19</v>
      </c>
      <c r="H210">
        <v>5</v>
      </c>
      <c r="I210" s="3">
        <v>50</v>
      </c>
      <c r="J210" s="3">
        <v>250</v>
      </c>
      <c r="K210" t="s">
        <v>35</v>
      </c>
      <c r="L210" t="s">
        <v>33</v>
      </c>
    </row>
    <row r="211" spans="1:12" x14ac:dyDescent="0.3">
      <c r="A211">
        <v>10742</v>
      </c>
      <c r="B211" s="2">
        <v>45357</v>
      </c>
      <c r="C211" t="s">
        <v>37</v>
      </c>
      <c r="D211" t="s">
        <v>26</v>
      </c>
      <c r="E211" t="s">
        <v>14</v>
      </c>
      <c r="F211" t="s">
        <v>28</v>
      </c>
      <c r="G211" t="s">
        <v>34</v>
      </c>
      <c r="H211">
        <v>5</v>
      </c>
      <c r="I211" s="3">
        <v>31</v>
      </c>
      <c r="J211" s="3">
        <v>155</v>
      </c>
      <c r="K211" t="s">
        <v>35</v>
      </c>
      <c r="L211" t="s">
        <v>27</v>
      </c>
    </row>
    <row r="212" spans="1:12" x14ac:dyDescent="0.3">
      <c r="A212">
        <v>10864</v>
      </c>
      <c r="B212" s="2">
        <v>45357</v>
      </c>
      <c r="C212" t="s">
        <v>37</v>
      </c>
      <c r="D212" t="s">
        <v>22</v>
      </c>
      <c r="E212" t="s">
        <v>14</v>
      </c>
      <c r="F212" t="s">
        <v>28</v>
      </c>
      <c r="G212" t="s">
        <v>36</v>
      </c>
      <c r="H212">
        <v>2</v>
      </c>
      <c r="I212" s="3">
        <v>36</v>
      </c>
      <c r="J212" s="3">
        <v>72</v>
      </c>
      <c r="K212" t="s">
        <v>17</v>
      </c>
      <c r="L212" t="s">
        <v>33</v>
      </c>
    </row>
    <row r="213" spans="1:12" x14ac:dyDescent="0.3">
      <c r="A213">
        <v>10872</v>
      </c>
      <c r="B213" s="2">
        <v>45357</v>
      </c>
      <c r="C213" t="s">
        <v>40</v>
      </c>
      <c r="D213" t="s">
        <v>42</v>
      </c>
      <c r="E213" t="s">
        <v>14</v>
      </c>
      <c r="F213" t="s">
        <v>28</v>
      </c>
      <c r="G213" t="s">
        <v>29</v>
      </c>
      <c r="H213">
        <v>3</v>
      </c>
      <c r="I213" s="3">
        <v>36</v>
      </c>
      <c r="J213" s="3">
        <v>108</v>
      </c>
      <c r="K213" t="s">
        <v>35</v>
      </c>
      <c r="L213" t="s">
        <v>27</v>
      </c>
    </row>
    <row r="214" spans="1:12" x14ac:dyDescent="0.3">
      <c r="A214">
        <v>10968</v>
      </c>
      <c r="B214" s="2">
        <v>45357</v>
      </c>
      <c r="C214" t="s">
        <v>37</v>
      </c>
      <c r="D214" t="s">
        <v>42</v>
      </c>
      <c r="E214" t="s">
        <v>14</v>
      </c>
      <c r="F214" t="s">
        <v>15</v>
      </c>
      <c r="G214" t="s">
        <v>16</v>
      </c>
      <c r="H214">
        <v>5</v>
      </c>
      <c r="I214" s="3">
        <v>114</v>
      </c>
      <c r="J214" s="3">
        <v>570</v>
      </c>
      <c r="K214" t="s">
        <v>35</v>
      </c>
      <c r="L214" t="s">
        <v>18</v>
      </c>
    </row>
    <row r="215" spans="1:12" x14ac:dyDescent="0.3">
      <c r="A215">
        <v>10775</v>
      </c>
      <c r="B215" s="2">
        <v>45358</v>
      </c>
      <c r="C215" t="s">
        <v>21</v>
      </c>
      <c r="D215" t="s">
        <v>13</v>
      </c>
      <c r="E215" t="s">
        <v>14</v>
      </c>
      <c r="F215" t="s">
        <v>38</v>
      </c>
      <c r="G215" t="s">
        <v>39</v>
      </c>
      <c r="H215">
        <v>4</v>
      </c>
      <c r="I215" s="3">
        <v>117</v>
      </c>
      <c r="J215" s="3">
        <v>468</v>
      </c>
      <c r="K215" t="s">
        <v>35</v>
      </c>
      <c r="L215" t="s">
        <v>20</v>
      </c>
    </row>
    <row r="216" spans="1:12" x14ac:dyDescent="0.3">
      <c r="A216">
        <v>10833</v>
      </c>
      <c r="B216" s="2">
        <v>45358</v>
      </c>
      <c r="C216" t="s">
        <v>21</v>
      </c>
      <c r="D216" t="s">
        <v>13</v>
      </c>
      <c r="E216" t="s">
        <v>23</v>
      </c>
      <c r="F216" t="s">
        <v>28</v>
      </c>
      <c r="G216" t="s">
        <v>34</v>
      </c>
      <c r="H216">
        <v>1</v>
      </c>
      <c r="I216" s="3">
        <v>128</v>
      </c>
      <c r="J216" s="3">
        <v>128</v>
      </c>
      <c r="K216" t="s">
        <v>25</v>
      </c>
      <c r="L216" t="s">
        <v>33</v>
      </c>
    </row>
    <row r="217" spans="1:12" x14ac:dyDescent="0.3">
      <c r="A217">
        <v>10110</v>
      </c>
      <c r="B217" s="2">
        <v>45359</v>
      </c>
      <c r="C217" t="s">
        <v>40</v>
      </c>
      <c r="D217" t="s">
        <v>26</v>
      </c>
      <c r="E217" t="s">
        <v>23</v>
      </c>
      <c r="F217" t="s">
        <v>38</v>
      </c>
      <c r="G217" t="s">
        <v>41</v>
      </c>
      <c r="H217">
        <v>5</v>
      </c>
      <c r="I217" s="3">
        <v>113</v>
      </c>
      <c r="J217" s="3">
        <v>565</v>
      </c>
      <c r="K217" t="s">
        <v>30</v>
      </c>
      <c r="L217" t="s">
        <v>20</v>
      </c>
    </row>
    <row r="218" spans="1:12" x14ac:dyDescent="0.3">
      <c r="A218">
        <v>10306</v>
      </c>
      <c r="B218" s="2">
        <v>45359</v>
      </c>
      <c r="C218" t="s">
        <v>12</v>
      </c>
      <c r="D218" t="s">
        <v>22</v>
      </c>
      <c r="E218" t="s">
        <v>23</v>
      </c>
      <c r="F218" t="s">
        <v>28</v>
      </c>
      <c r="G218" t="s">
        <v>34</v>
      </c>
      <c r="H218">
        <v>4</v>
      </c>
      <c r="I218" s="3">
        <v>39</v>
      </c>
      <c r="J218" s="3">
        <v>156</v>
      </c>
      <c r="K218" t="s">
        <v>25</v>
      </c>
      <c r="L218" t="s">
        <v>18</v>
      </c>
    </row>
    <row r="219" spans="1:12" x14ac:dyDescent="0.3">
      <c r="A219">
        <v>10781</v>
      </c>
      <c r="B219" s="2">
        <v>45359</v>
      </c>
      <c r="C219" t="s">
        <v>40</v>
      </c>
      <c r="D219" t="s">
        <v>26</v>
      </c>
      <c r="E219" t="s">
        <v>23</v>
      </c>
      <c r="F219" t="s">
        <v>15</v>
      </c>
      <c r="G219" t="s">
        <v>19</v>
      </c>
      <c r="H219">
        <v>3</v>
      </c>
      <c r="I219" s="3">
        <v>139</v>
      </c>
      <c r="J219" s="3">
        <v>417</v>
      </c>
      <c r="K219" t="s">
        <v>32</v>
      </c>
      <c r="L219" t="s">
        <v>33</v>
      </c>
    </row>
    <row r="220" spans="1:12" x14ac:dyDescent="0.3">
      <c r="A220">
        <v>10220</v>
      </c>
      <c r="B220" s="2">
        <v>45360</v>
      </c>
      <c r="C220" t="s">
        <v>21</v>
      </c>
      <c r="D220" t="s">
        <v>26</v>
      </c>
      <c r="E220" t="s">
        <v>14</v>
      </c>
      <c r="F220" t="s">
        <v>38</v>
      </c>
      <c r="G220" t="s">
        <v>43</v>
      </c>
      <c r="H220">
        <v>5</v>
      </c>
      <c r="I220" s="3">
        <v>146</v>
      </c>
      <c r="J220" s="3">
        <v>730</v>
      </c>
      <c r="K220" t="s">
        <v>25</v>
      </c>
      <c r="L220" t="s">
        <v>33</v>
      </c>
    </row>
    <row r="221" spans="1:12" x14ac:dyDescent="0.3">
      <c r="A221">
        <v>10423</v>
      </c>
      <c r="B221" s="2">
        <v>45360</v>
      </c>
      <c r="C221" t="s">
        <v>21</v>
      </c>
      <c r="D221" t="s">
        <v>31</v>
      </c>
      <c r="E221" t="s">
        <v>14</v>
      </c>
      <c r="F221" t="s">
        <v>38</v>
      </c>
      <c r="G221" t="s">
        <v>39</v>
      </c>
      <c r="H221">
        <v>5</v>
      </c>
      <c r="I221" s="3">
        <v>149</v>
      </c>
      <c r="J221" s="3">
        <v>745</v>
      </c>
      <c r="K221" t="s">
        <v>17</v>
      </c>
      <c r="L221" t="s">
        <v>27</v>
      </c>
    </row>
    <row r="222" spans="1:12" x14ac:dyDescent="0.3">
      <c r="A222">
        <v>10664</v>
      </c>
      <c r="B222" s="2">
        <v>45360</v>
      </c>
      <c r="C222" t="s">
        <v>40</v>
      </c>
      <c r="D222" t="s">
        <v>22</v>
      </c>
      <c r="E222" t="s">
        <v>23</v>
      </c>
      <c r="F222" t="s">
        <v>38</v>
      </c>
      <c r="G222" t="s">
        <v>41</v>
      </c>
      <c r="H222">
        <v>5</v>
      </c>
      <c r="I222" s="3">
        <v>30</v>
      </c>
      <c r="J222" s="3">
        <v>150</v>
      </c>
      <c r="K222" t="s">
        <v>32</v>
      </c>
      <c r="L222" t="s">
        <v>18</v>
      </c>
    </row>
    <row r="223" spans="1:12" x14ac:dyDescent="0.3">
      <c r="A223">
        <v>11056</v>
      </c>
      <c r="B223" s="2">
        <v>45360</v>
      </c>
      <c r="C223" t="s">
        <v>40</v>
      </c>
      <c r="D223" t="s">
        <v>31</v>
      </c>
      <c r="E223" t="s">
        <v>23</v>
      </c>
      <c r="F223" t="s">
        <v>28</v>
      </c>
      <c r="G223" t="s">
        <v>34</v>
      </c>
      <c r="H223">
        <v>3</v>
      </c>
      <c r="I223" s="3">
        <v>141</v>
      </c>
      <c r="J223" s="3">
        <v>423</v>
      </c>
      <c r="K223" t="s">
        <v>35</v>
      </c>
      <c r="L223" t="s">
        <v>20</v>
      </c>
    </row>
    <row r="224" spans="1:12" x14ac:dyDescent="0.3">
      <c r="A224">
        <v>10095</v>
      </c>
      <c r="B224" s="2">
        <v>45361</v>
      </c>
      <c r="C224" t="s">
        <v>40</v>
      </c>
      <c r="D224" t="s">
        <v>26</v>
      </c>
      <c r="E224" t="s">
        <v>23</v>
      </c>
      <c r="F224" t="s">
        <v>38</v>
      </c>
      <c r="G224" t="s">
        <v>41</v>
      </c>
      <c r="H224">
        <v>5</v>
      </c>
      <c r="I224" s="3">
        <v>150</v>
      </c>
      <c r="J224" s="3">
        <v>750</v>
      </c>
      <c r="K224" t="s">
        <v>35</v>
      </c>
      <c r="L224" t="s">
        <v>33</v>
      </c>
    </row>
    <row r="225" spans="1:12" x14ac:dyDescent="0.3">
      <c r="A225">
        <v>10344</v>
      </c>
      <c r="B225" s="2">
        <v>45362</v>
      </c>
      <c r="C225" t="s">
        <v>21</v>
      </c>
      <c r="D225" t="s">
        <v>13</v>
      </c>
      <c r="E225" t="s">
        <v>14</v>
      </c>
      <c r="F225" t="s">
        <v>28</v>
      </c>
      <c r="G225" t="s">
        <v>34</v>
      </c>
      <c r="H225">
        <v>3</v>
      </c>
      <c r="I225" s="3">
        <v>118</v>
      </c>
      <c r="J225" s="3">
        <v>354</v>
      </c>
      <c r="K225" t="s">
        <v>17</v>
      </c>
      <c r="L225" t="s">
        <v>18</v>
      </c>
    </row>
    <row r="226" spans="1:12" x14ac:dyDescent="0.3">
      <c r="A226">
        <v>10250</v>
      </c>
      <c r="B226" s="2">
        <v>45363</v>
      </c>
      <c r="C226" t="s">
        <v>21</v>
      </c>
      <c r="D226" t="s">
        <v>13</v>
      </c>
      <c r="E226" t="s">
        <v>14</v>
      </c>
      <c r="F226" t="s">
        <v>28</v>
      </c>
      <c r="G226" t="s">
        <v>36</v>
      </c>
      <c r="H226">
        <v>3</v>
      </c>
      <c r="I226" s="3">
        <v>63</v>
      </c>
      <c r="J226" s="3">
        <v>189</v>
      </c>
      <c r="K226" t="s">
        <v>17</v>
      </c>
      <c r="L226" t="s">
        <v>18</v>
      </c>
    </row>
    <row r="227" spans="1:12" x14ac:dyDescent="0.3">
      <c r="A227">
        <v>10260</v>
      </c>
      <c r="B227" s="2">
        <v>45363</v>
      </c>
      <c r="C227" t="s">
        <v>40</v>
      </c>
      <c r="D227" t="s">
        <v>22</v>
      </c>
      <c r="E227" t="s">
        <v>23</v>
      </c>
      <c r="F227" t="s">
        <v>15</v>
      </c>
      <c r="G227" t="s">
        <v>24</v>
      </c>
      <c r="H227">
        <v>3</v>
      </c>
      <c r="I227" s="3">
        <v>118</v>
      </c>
      <c r="J227" s="3">
        <v>354</v>
      </c>
      <c r="K227" t="s">
        <v>25</v>
      </c>
      <c r="L227" t="s">
        <v>18</v>
      </c>
    </row>
    <row r="228" spans="1:12" x14ac:dyDescent="0.3">
      <c r="A228">
        <v>10274</v>
      </c>
      <c r="B228" s="2">
        <v>45363</v>
      </c>
      <c r="C228" t="s">
        <v>37</v>
      </c>
      <c r="D228" t="s">
        <v>13</v>
      </c>
      <c r="E228" t="s">
        <v>23</v>
      </c>
      <c r="F228" t="s">
        <v>15</v>
      </c>
      <c r="G228" t="s">
        <v>16</v>
      </c>
      <c r="H228">
        <v>4</v>
      </c>
      <c r="I228" s="3">
        <v>147</v>
      </c>
      <c r="J228" s="3">
        <v>588</v>
      </c>
      <c r="K228" t="s">
        <v>32</v>
      </c>
      <c r="L228" t="s">
        <v>27</v>
      </c>
    </row>
    <row r="229" spans="1:12" x14ac:dyDescent="0.3">
      <c r="A229">
        <v>10625</v>
      </c>
      <c r="B229" s="2">
        <v>45363</v>
      </c>
      <c r="C229" t="s">
        <v>12</v>
      </c>
      <c r="D229" t="s">
        <v>22</v>
      </c>
      <c r="E229" t="s">
        <v>23</v>
      </c>
      <c r="F229" t="s">
        <v>15</v>
      </c>
      <c r="G229" t="s">
        <v>16</v>
      </c>
      <c r="H229">
        <v>2</v>
      </c>
      <c r="I229" s="3">
        <v>141</v>
      </c>
      <c r="J229" s="3">
        <v>282</v>
      </c>
      <c r="K229" t="s">
        <v>35</v>
      </c>
      <c r="L229" t="s">
        <v>27</v>
      </c>
    </row>
    <row r="230" spans="1:12" x14ac:dyDescent="0.3">
      <c r="A230">
        <v>10856</v>
      </c>
      <c r="B230" s="2">
        <v>45363</v>
      </c>
      <c r="C230" t="s">
        <v>37</v>
      </c>
      <c r="D230" t="s">
        <v>42</v>
      </c>
      <c r="E230" t="s">
        <v>14</v>
      </c>
      <c r="F230" t="s">
        <v>38</v>
      </c>
      <c r="G230" t="s">
        <v>41</v>
      </c>
      <c r="H230">
        <v>4</v>
      </c>
      <c r="I230" s="3">
        <v>51</v>
      </c>
      <c r="J230" s="3">
        <v>204</v>
      </c>
      <c r="K230" t="s">
        <v>17</v>
      </c>
      <c r="L230" t="s">
        <v>33</v>
      </c>
    </row>
    <row r="231" spans="1:12" x14ac:dyDescent="0.3">
      <c r="A231">
        <v>10299</v>
      </c>
      <c r="B231" s="2">
        <v>45364</v>
      </c>
      <c r="C231" t="s">
        <v>37</v>
      </c>
      <c r="D231" t="s">
        <v>42</v>
      </c>
      <c r="E231" t="s">
        <v>23</v>
      </c>
      <c r="F231" t="s">
        <v>28</v>
      </c>
      <c r="G231" t="s">
        <v>36</v>
      </c>
      <c r="H231">
        <v>4</v>
      </c>
      <c r="I231" s="3">
        <v>145</v>
      </c>
      <c r="J231" s="3">
        <v>580</v>
      </c>
      <c r="K231" t="s">
        <v>30</v>
      </c>
      <c r="L231" t="s">
        <v>18</v>
      </c>
    </row>
    <row r="232" spans="1:12" x14ac:dyDescent="0.3">
      <c r="A232">
        <v>10663</v>
      </c>
      <c r="B232" s="2">
        <v>45364</v>
      </c>
      <c r="C232" t="s">
        <v>21</v>
      </c>
      <c r="D232" t="s">
        <v>13</v>
      </c>
      <c r="E232" t="s">
        <v>23</v>
      </c>
      <c r="F232" t="s">
        <v>38</v>
      </c>
      <c r="G232" t="s">
        <v>41</v>
      </c>
      <c r="H232">
        <v>1</v>
      </c>
      <c r="I232" s="3">
        <v>90</v>
      </c>
      <c r="J232" s="3">
        <v>90</v>
      </c>
      <c r="K232" t="s">
        <v>17</v>
      </c>
      <c r="L232" t="s">
        <v>20</v>
      </c>
    </row>
    <row r="233" spans="1:12" x14ac:dyDescent="0.3">
      <c r="A233">
        <v>10884</v>
      </c>
      <c r="B233" s="2">
        <v>45364</v>
      </c>
      <c r="C233" t="s">
        <v>37</v>
      </c>
      <c r="D233" t="s">
        <v>42</v>
      </c>
      <c r="E233" t="s">
        <v>14</v>
      </c>
      <c r="F233" t="s">
        <v>38</v>
      </c>
      <c r="G233" t="s">
        <v>41</v>
      </c>
      <c r="H233">
        <v>5</v>
      </c>
      <c r="I233" s="3">
        <v>49</v>
      </c>
      <c r="J233" s="3">
        <v>245</v>
      </c>
      <c r="K233" t="s">
        <v>17</v>
      </c>
      <c r="L233" t="s">
        <v>33</v>
      </c>
    </row>
    <row r="234" spans="1:12" x14ac:dyDescent="0.3">
      <c r="A234">
        <v>10134</v>
      </c>
      <c r="B234" s="2">
        <v>45365</v>
      </c>
      <c r="C234" t="s">
        <v>21</v>
      </c>
      <c r="D234" t="s">
        <v>31</v>
      </c>
      <c r="E234" t="s">
        <v>14</v>
      </c>
      <c r="F234" t="s">
        <v>38</v>
      </c>
      <c r="G234" t="s">
        <v>39</v>
      </c>
      <c r="H234">
        <v>1</v>
      </c>
      <c r="I234" s="3">
        <v>66</v>
      </c>
      <c r="J234" s="3">
        <v>66</v>
      </c>
      <c r="K234" t="s">
        <v>25</v>
      </c>
      <c r="L234" t="s">
        <v>18</v>
      </c>
    </row>
    <row r="235" spans="1:12" x14ac:dyDescent="0.3">
      <c r="A235">
        <v>10998</v>
      </c>
      <c r="B235" s="2">
        <v>45365</v>
      </c>
      <c r="C235" t="s">
        <v>21</v>
      </c>
      <c r="D235" t="s">
        <v>22</v>
      </c>
      <c r="E235" t="s">
        <v>23</v>
      </c>
      <c r="F235" t="s">
        <v>15</v>
      </c>
      <c r="G235" t="s">
        <v>24</v>
      </c>
      <c r="H235">
        <v>2</v>
      </c>
      <c r="I235" s="3">
        <v>52</v>
      </c>
      <c r="J235" s="3">
        <v>104</v>
      </c>
      <c r="K235" t="s">
        <v>25</v>
      </c>
      <c r="L235" t="s">
        <v>33</v>
      </c>
    </row>
    <row r="236" spans="1:12" x14ac:dyDescent="0.3">
      <c r="A236">
        <v>11043</v>
      </c>
      <c r="B236" s="2">
        <v>45365</v>
      </c>
      <c r="C236" t="s">
        <v>40</v>
      </c>
      <c r="D236" t="s">
        <v>31</v>
      </c>
      <c r="E236" t="s">
        <v>14</v>
      </c>
      <c r="F236" t="s">
        <v>28</v>
      </c>
      <c r="G236" t="s">
        <v>34</v>
      </c>
      <c r="H236">
        <v>1</v>
      </c>
      <c r="I236" s="3">
        <v>88</v>
      </c>
      <c r="J236" s="3">
        <v>88</v>
      </c>
      <c r="K236" t="s">
        <v>17</v>
      </c>
      <c r="L236" t="s">
        <v>33</v>
      </c>
    </row>
    <row r="237" spans="1:12" x14ac:dyDescent="0.3">
      <c r="A237">
        <v>10103</v>
      </c>
      <c r="B237" s="2">
        <v>45366</v>
      </c>
      <c r="C237" t="s">
        <v>12</v>
      </c>
      <c r="D237" t="s">
        <v>22</v>
      </c>
      <c r="E237" t="s">
        <v>23</v>
      </c>
      <c r="F237" t="s">
        <v>38</v>
      </c>
      <c r="G237" t="s">
        <v>39</v>
      </c>
      <c r="H237">
        <v>3</v>
      </c>
      <c r="I237" s="3">
        <v>130</v>
      </c>
      <c r="J237" s="3">
        <v>390</v>
      </c>
      <c r="K237" t="s">
        <v>17</v>
      </c>
      <c r="L237" t="s">
        <v>20</v>
      </c>
    </row>
    <row r="238" spans="1:12" x14ac:dyDescent="0.3">
      <c r="A238">
        <v>10699</v>
      </c>
      <c r="B238" s="2">
        <v>45366</v>
      </c>
      <c r="C238" t="s">
        <v>21</v>
      </c>
      <c r="D238" t="s">
        <v>26</v>
      </c>
      <c r="E238" t="s">
        <v>14</v>
      </c>
      <c r="F238" t="s">
        <v>28</v>
      </c>
      <c r="G238" t="s">
        <v>34</v>
      </c>
      <c r="H238">
        <v>4</v>
      </c>
      <c r="I238" s="3">
        <v>147</v>
      </c>
      <c r="J238" s="3">
        <v>588</v>
      </c>
      <c r="K238" t="s">
        <v>25</v>
      </c>
      <c r="L238" t="s">
        <v>33</v>
      </c>
    </row>
    <row r="239" spans="1:12" x14ac:dyDescent="0.3">
      <c r="A239">
        <v>11059</v>
      </c>
      <c r="B239" s="2">
        <v>45367</v>
      </c>
      <c r="C239" t="s">
        <v>37</v>
      </c>
      <c r="D239" t="s">
        <v>13</v>
      </c>
      <c r="E239" t="s">
        <v>14</v>
      </c>
      <c r="F239" t="s">
        <v>38</v>
      </c>
      <c r="G239" t="s">
        <v>43</v>
      </c>
      <c r="H239">
        <v>2</v>
      </c>
      <c r="I239" s="3">
        <v>27</v>
      </c>
      <c r="J239" s="3">
        <v>54</v>
      </c>
      <c r="K239" t="s">
        <v>32</v>
      </c>
      <c r="L239" t="s">
        <v>18</v>
      </c>
    </row>
    <row r="240" spans="1:12" x14ac:dyDescent="0.3">
      <c r="A240">
        <v>11136</v>
      </c>
      <c r="B240" s="2">
        <v>45367</v>
      </c>
      <c r="C240" t="s">
        <v>21</v>
      </c>
      <c r="D240" t="s">
        <v>31</v>
      </c>
      <c r="E240" t="s">
        <v>14</v>
      </c>
      <c r="F240" t="s">
        <v>15</v>
      </c>
      <c r="G240" t="s">
        <v>19</v>
      </c>
      <c r="H240">
        <v>5</v>
      </c>
      <c r="I240" s="3">
        <v>46</v>
      </c>
      <c r="J240" s="3">
        <v>230</v>
      </c>
      <c r="K240" t="s">
        <v>32</v>
      </c>
      <c r="L240" t="s">
        <v>18</v>
      </c>
    </row>
    <row r="241" spans="1:12" x14ac:dyDescent="0.3">
      <c r="A241">
        <v>11150</v>
      </c>
      <c r="B241" s="2">
        <v>45367</v>
      </c>
      <c r="C241" t="s">
        <v>21</v>
      </c>
      <c r="D241" t="s">
        <v>13</v>
      </c>
      <c r="E241" t="s">
        <v>14</v>
      </c>
      <c r="F241" t="s">
        <v>28</v>
      </c>
      <c r="G241" t="s">
        <v>29</v>
      </c>
      <c r="H241">
        <v>5</v>
      </c>
      <c r="I241" s="3">
        <v>25</v>
      </c>
      <c r="J241" s="3">
        <v>125</v>
      </c>
      <c r="K241" t="s">
        <v>35</v>
      </c>
      <c r="L241" t="s">
        <v>27</v>
      </c>
    </row>
    <row r="242" spans="1:12" x14ac:dyDescent="0.3">
      <c r="A242">
        <v>10096</v>
      </c>
      <c r="B242" s="2">
        <v>45368</v>
      </c>
      <c r="C242" t="s">
        <v>21</v>
      </c>
      <c r="D242" t="s">
        <v>22</v>
      </c>
      <c r="E242" t="s">
        <v>23</v>
      </c>
      <c r="F242" t="s">
        <v>28</v>
      </c>
      <c r="G242" t="s">
        <v>29</v>
      </c>
      <c r="H242">
        <v>3</v>
      </c>
      <c r="I242" s="3">
        <v>145</v>
      </c>
      <c r="J242" s="3">
        <v>435</v>
      </c>
      <c r="K242" t="s">
        <v>35</v>
      </c>
      <c r="L242" t="s">
        <v>33</v>
      </c>
    </row>
    <row r="243" spans="1:12" x14ac:dyDescent="0.3">
      <c r="A243">
        <v>10387</v>
      </c>
      <c r="B243" s="2">
        <v>45368</v>
      </c>
      <c r="C243" t="s">
        <v>12</v>
      </c>
      <c r="D243" t="s">
        <v>31</v>
      </c>
      <c r="E243" t="s">
        <v>23</v>
      </c>
      <c r="F243" t="s">
        <v>15</v>
      </c>
      <c r="G243" t="s">
        <v>24</v>
      </c>
      <c r="H243">
        <v>3</v>
      </c>
      <c r="I243" s="3">
        <v>68</v>
      </c>
      <c r="J243" s="3">
        <v>204</v>
      </c>
      <c r="K243" t="s">
        <v>35</v>
      </c>
      <c r="L243" t="s">
        <v>20</v>
      </c>
    </row>
    <row r="244" spans="1:12" x14ac:dyDescent="0.3">
      <c r="A244">
        <v>10406</v>
      </c>
      <c r="B244" s="2">
        <v>45368</v>
      </c>
      <c r="C244" t="s">
        <v>40</v>
      </c>
      <c r="D244" t="s">
        <v>22</v>
      </c>
      <c r="E244" t="s">
        <v>14</v>
      </c>
      <c r="F244" t="s">
        <v>15</v>
      </c>
      <c r="G244" t="s">
        <v>16</v>
      </c>
      <c r="H244">
        <v>1</v>
      </c>
      <c r="I244" s="3">
        <v>146</v>
      </c>
      <c r="J244" s="3">
        <v>146</v>
      </c>
      <c r="K244" t="s">
        <v>25</v>
      </c>
      <c r="L244" t="s">
        <v>33</v>
      </c>
    </row>
    <row r="245" spans="1:12" x14ac:dyDescent="0.3">
      <c r="A245">
        <v>10608</v>
      </c>
      <c r="B245" s="2">
        <v>45368</v>
      </c>
      <c r="C245" t="s">
        <v>12</v>
      </c>
      <c r="D245" t="s">
        <v>26</v>
      </c>
      <c r="E245" t="s">
        <v>14</v>
      </c>
      <c r="F245" t="s">
        <v>38</v>
      </c>
      <c r="G245" t="s">
        <v>43</v>
      </c>
      <c r="H245">
        <v>1</v>
      </c>
      <c r="I245" s="3">
        <v>89</v>
      </c>
      <c r="J245" s="3">
        <v>89</v>
      </c>
      <c r="K245" t="s">
        <v>25</v>
      </c>
      <c r="L245" t="s">
        <v>18</v>
      </c>
    </row>
    <row r="246" spans="1:12" x14ac:dyDescent="0.3">
      <c r="A246">
        <v>10773</v>
      </c>
      <c r="B246" s="2">
        <v>45368</v>
      </c>
      <c r="C246" t="s">
        <v>40</v>
      </c>
      <c r="D246" t="s">
        <v>26</v>
      </c>
      <c r="E246" t="s">
        <v>14</v>
      </c>
      <c r="F246" t="s">
        <v>38</v>
      </c>
      <c r="G246" t="s">
        <v>43</v>
      </c>
      <c r="H246">
        <v>4</v>
      </c>
      <c r="I246" s="3">
        <v>86</v>
      </c>
      <c r="J246" s="3">
        <v>344</v>
      </c>
      <c r="K246" t="s">
        <v>17</v>
      </c>
      <c r="L246" t="s">
        <v>18</v>
      </c>
    </row>
    <row r="247" spans="1:12" x14ac:dyDescent="0.3">
      <c r="A247">
        <v>10979</v>
      </c>
      <c r="B247" s="2">
        <v>45368</v>
      </c>
      <c r="C247" t="s">
        <v>21</v>
      </c>
      <c r="D247" t="s">
        <v>13</v>
      </c>
      <c r="E247" t="s">
        <v>14</v>
      </c>
      <c r="F247" t="s">
        <v>15</v>
      </c>
      <c r="G247" t="s">
        <v>24</v>
      </c>
      <c r="H247">
        <v>3</v>
      </c>
      <c r="I247" s="3">
        <v>131</v>
      </c>
      <c r="J247" s="3">
        <v>393</v>
      </c>
      <c r="K247" t="s">
        <v>25</v>
      </c>
      <c r="L247" t="s">
        <v>20</v>
      </c>
    </row>
    <row r="248" spans="1:12" x14ac:dyDescent="0.3">
      <c r="A248">
        <v>10329</v>
      </c>
      <c r="B248" s="2">
        <v>45369</v>
      </c>
      <c r="C248" t="s">
        <v>40</v>
      </c>
      <c r="D248" t="s">
        <v>42</v>
      </c>
      <c r="E248" t="s">
        <v>14</v>
      </c>
      <c r="F248" t="s">
        <v>28</v>
      </c>
      <c r="G248" t="s">
        <v>36</v>
      </c>
      <c r="H248">
        <v>5</v>
      </c>
      <c r="I248" s="3">
        <v>82</v>
      </c>
      <c r="J248" s="3">
        <v>410</v>
      </c>
      <c r="K248" t="s">
        <v>32</v>
      </c>
      <c r="L248" t="s">
        <v>33</v>
      </c>
    </row>
    <row r="249" spans="1:12" x14ac:dyDescent="0.3">
      <c r="A249">
        <v>10367</v>
      </c>
      <c r="B249" s="2">
        <v>45369</v>
      </c>
      <c r="C249" t="s">
        <v>40</v>
      </c>
      <c r="D249" t="s">
        <v>31</v>
      </c>
      <c r="E249" t="s">
        <v>23</v>
      </c>
      <c r="F249" t="s">
        <v>38</v>
      </c>
      <c r="G249" t="s">
        <v>41</v>
      </c>
      <c r="H249">
        <v>3</v>
      </c>
      <c r="I249" s="3">
        <v>35</v>
      </c>
      <c r="J249" s="3">
        <v>105</v>
      </c>
      <c r="K249" t="s">
        <v>17</v>
      </c>
      <c r="L249" t="s">
        <v>27</v>
      </c>
    </row>
    <row r="250" spans="1:12" x14ac:dyDescent="0.3">
      <c r="A250">
        <v>10753</v>
      </c>
      <c r="B250" s="2">
        <v>45369</v>
      </c>
      <c r="C250" t="s">
        <v>37</v>
      </c>
      <c r="D250" t="s">
        <v>42</v>
      </c>
      <c r="E250" t="s">
        <v>23</v>
      </c>
      <c r="F250" t="s">
        <v>38</v>
      </c>
      <c r="G250" t="s">
        <v>39</v>
      </c>
      <c r="H250">
        <v>2</v>
      </c>
      <c r="I250" s="3">
        <v>81</v>
      </c>
      <c r="J250" s="3">
        <v>162</v>
      </c>
      <c r="K250" t="s">
        <v>35</v>
      </c>
      <c r="L250" t="s">
        <v>18</v>
      </c>
    </row>
    <row r="251" spans="1:12" x14ac:dyDescent="0.3">
      <c r="A251">
        <v>10817</v>
      </c>
      <c r="B251" s="2">
        <v>45369</v>
      </c>
      <c r="C251" t="s">
        <v>40</v>
      </c>
      <c r="D251" t="s">
        <v>31</v>
      </c>
      <c r="E251" t="s">
        <v>23</v>
      </c>
      <c r="F251" t="s">
        <v>38</v>
      </c>
      <c r="G251" t="s">
        <v>39</v>
      </c>
      <c r="H251">
        <v>1</v>
      </c>
      <c r="I251" s="3">
        <v>88</v>
      </c>
      <c r="J251" s="3">
        <v>88</v>
      </c>
      <c r="K251" t="s">
        <v>30</v>
      </c>
      <c r="L251" t="s">
        <v>18</v>
      </c>
    </row>
    <row r="252" spans="1:12" x14ac:dyDescent="0.3">
      <c r="A252">
        <v>10604</v>
      </c>
      <c r="B252" s="2">
        <v>45370</v>
      </c>
      <c r="C252" t="s">
        <v>12</v>
      </c>
      <c r="D252" t="s">
        <v>26</v>
      </c>
      <c r="E252" t="s">
        <v>23</v>
      </c>
      <c r="F252" t="s">
        <v>15</v>
      </c>
      <c r="G252" t="s">
        <v>16</v>
      </c>
      <c r="H252">
        <v>4</v>
      </c>
      <c r="I252" s="3">
        <v>148</v>
      </c>
      <c r="J252" s="3">
        <v>592</v>
      </c>
      <c r="K252" t="s">
        <v>17</v>
      </c>
      <c r="L252" t="s">
        <v>33</v>
      </c>
    </row>
    <row r="253" spans="1:12" x14ac:dyDescent="0.3">
      <c r="A253">
        <v>10003</v>
      </c>
      <c r="B253" s="2">
        <v>45371</v>
      </c>
      <c r="C253" t="s">
        <v>12</v>
      </c>
      <c r="D253" t="s">
        <v>26</v>
      </c>
      <c r="E253" t="s">
        <v>14</v>
      </c>
      <c r="F253" t="s">
        <v>15</v>
      </c>
      <c r="G253" t="s">
        <v>19</v>
      </c>
      <c r="H253">
        <v>3</v>
      </c>
      <c r="I253" s="3">
        <v>91</v>
      </c>
      <c r="J253" s="3">
        <v>273</v>
      </c>
      <c r="K253" t="s">
        <v>25</v>
      </c>
      <c r="L253" t="s">
        <v>27</v>
      </c>
    </row>
    <row r="254" spans="1:12" x14ac:dyDescent="0.3">
      <c r="A254">
        <v>10235</v>
      </c>
      <c r="B254" s="2">
        <v>45371</v>
      </c>
      <c r="C254" t="s">
        <v>37</v>
      </c>
      <c r="D254" t="s">
        <v>13</v>
      </c>
      <c r="E254" t="s">
        <v>14</v>
      </c>
      <c r="F254" t="s">
        <v>28</v>
      </c>
      <c r="G254" t="s">
        <v>34</v>
      </c>
      <c r="H254">
        <v>4</v>
      </c>
      <c r="I254" s="3">
        <v>108</v>
      </c>
      <c r="J254" s="3">
        <v>432</v>
      </c>
      <c r="K254" t="s">
        <v>25</v>
      </c>
      <c r="L254" t="s">
        <v>27</v>
      </c>
    </row>
    <row r="255" spans="1:12" x14ac:dyDescent="0.3">
      <c r="A255">
        <v>10940</v>
      </c>
      <c r="B255" s="2">
        <v>45371</v>
      </c>
      <c r="C255" t="s">
        <v>21</v>
      </c>
      <c r="D255" t="s">
        <v>31</v>
      </c>
      <c r="E255" t="s">
        <v>23</v>
      </c>
      <c r="F255" t="s">
        <v>38</v>
      </c>
      <c r="G255" t="s">
        <v>39</v>
      </c>
      <c r="H255">
        <v>5</v>
      </c>
      <c r="I255" s="3">
        <v>130</v>
      </c>
      <c r="J255" s="3">
        <v>650</v>
      </c>
      <c r="K255" t="s">
        <v>30</v>
      </c>
      <c r="L255" t="s">
        <v>18</v>
      </c>
    </row>
    <row r="256" spans="1:12" x14ac:dyDescent="0.3">
      <c r="A256">
        <v>11038</v>
      </c>
      <c r="B256" s="2">
        <v>45371</v>
      </c>
      <c r="C256" t="s">
        <v>21</v>
      </c>
      <c r="D256" t="s">
        <v>13</v>
      </c>
      <c r="E256" t="s">
        <v>23</v>
      </c>
      <c r="F256" t="s">
        <v>38</v>
      </c>
      <c r="G256" t="s">
        <v>39</v>
      </c>
      <c r="H256">
        <v>2</v>
      </c>
      <c r="I256" s="3">
        <v>121</v>
      </c>
      <c r="J256" s="3">
        <v>242</v>
      </c>
      <c r="K256" t="s">
        <v>35</v>
      </c>
      <c r="L256" t="s">
        <v>20</v>
      </c>
    </row>
    <row r="257" spans="1:12" x14ac:dyDescent="0.3">
      <c r="A257">
        <v>10769</v>
      </c>
      <c r="B257" s="2">
        <v>45372</v>
      </c>
      <c r="C257" t="s">
        <v>12</v>
      </c>
      <c r="D257" t="s">
        <v>22</v>
      </c>
      <c r="E257" t="s">
        <v>14</v>
      </c>
      <c r="F257" t="s">
        <v>38</v>
      </c>
      <c r="G257" t="s">
        <v>43</v>
      </c>
      <c r="H257">
        <v>1</v>
      </c>
      <c r="I257" s="3">
        <v>48</v>
      </c>
      <c r="J257" s="3">
        <v>48</v>
      </c>
      <c r="K257" t="s">
        <v>17</v>
      </c>
      <c r="L257" t="s">
        <v>27</v>
      </c>
    </row>
    <row r="258" spans="1:12" x14ac:dyDescent="0.3">
      <c r="A258">
        <v>10909</v>
      </c>
      <c r="B258" s="2">
        <v>45372</v>
      </c>
      <c r="C258" t="s">
        <v>40</v>
      </c>
      <c r="D258" t="s">
        <v>13</v>
      </c>
      <c r="E258" t="s">
        <v>23</v>
      </c>
      <c r="F258" t="s">
        <v>28</v>
      </c>
      <c r="G258" t="s">
        <v>29</v>
      </c>
      <c r="H258">
        <v>4</v>
      </c>
      <c r="I258" s="3">
        <v>120</v>
      </c>
      <c r="J258" s="3">
        <v>480</v>
      </c>
      <c r="K258" t="s">
        <v>30</v>
      </c>
      <c r="L258" t="s">
        <v>18</v>
      </c>
    </row>
    <row r="259" spans="1:12" x14ac:dyDescent="0.3">
      <c r="A259">
        <v>10304</v>
      </c>
      <c r="B259" s="2">
        <v>45373</v>
      </c>
      <c r="C259" t="s">
        <v>37</v>
      </c>
      <c r="D259" t="s">
        <v>31</v>
      </c>
      <c r="E259" t="s">
        <v>23</v>
      </c>
      <c r="F259" t="s">
        <v>28</v>
      </c>
      <c r="G259" t="s">
        <v>36</v>
      </c>
      <c r="H259">
        <v>2</v>
      </c>
      <c r="I259" s="3">
        <v>97</v>
      </c>
      <c r="J259" s="3">
        <v>194</v>
      </c>
      <c r="K259" t="s">
        <v>35</v>
      </c>
      <c r="L259" t="s">
        <v>18</v>
      </c>
    </row>
    <row r="260" spans="1:12" x14ac:dyDescent="0.3">
      <c r="A260">
        <v>10437</v>
      </c>
      <c r="B260" s="2">
        <v>45373</v>
      </c>
      <c r="C260" t="s">
        <v>21</v>
      </c>
      <c r="D260" t="s">
        <v>22</v>
      </c>
      <c r="E260" t="s">
        <v>23</v>
      </c>
      <c r="F260" t="s">
        <v>28</v>
      </c>
      <c r="G260" t="s">
        <v>36</v>
      </c>
      <c r="H260">
        <v>1</v>
      </c>
      <c r="I260" s="3">
        <v>149</v>
      </c>
      <c r="J260" s="3">
        <v>149</v>
      </c>
      <c r="K260" t="s">
        <v>25</v>
      </c>
      <c r="L260" t="s">
        <v>33</v>
      </c>
    </row>
    <row r="261" spans="1:12" x14ac:dyDescent="0.3">
      <c r="A261">
        <v>10756</v>
      </c>
      <c r="B261" s="2">
        <v>45373</v>
      </c>
      <c r="C261" t="s">
        <v>37</v>
      </c>
      <c r="D261" t="s">
        <v>13</v>
      </c>
      <c r="E261" t="s">
        <v>14</v>
      </c>
      <c r="F261" t="s">
        <v>38</v>
      </c>
      <c r="G261" t="s">
        <v>43</v>
      </c>
      <c r="H261">
        <v>1</v>
      </c>
      <c r="I261" s="3">
        <v>71</v>
      </c>
      <c r="J261" s="3">
        <v>71</v>
      </c>
      <c r="K261" t="s">
        <v>35</v>
      </c>
      <c r="L261" t="s">
        <v>33</v>
      </c>
    </row>
    <row r="262" spans="1:12" x14ac:dyDescent="0.3">
      <c r="A262">
        <v>11079</v>
      </c>
      <c r="B262" s="2">
        <v>45373</v>
      </c>
      <c r="C262" t="s">
        <v>21</v>
      </c>
      <c r="D262" t="s">
        <v>31</v>
      </c>
      <c r="E262" t="s">
        <v>14</v>
      </c>
      <c r="F262" t="s">
        <v>28</v>
      </c>
      <c r="G262" t="s">
        <v>34</v>
      </c>
      <c r="H262">
        <v>3</v>
      </c>
      <c r="I262" s="3">
        <v>116</v>
      </c>
      <c r="J262" s="3">
        <v>348</v>
      </c>
      <c r="K262" t="s">
        <v>30</v>
      </c>
      <c r="L262" t="s">
        <v>27</v>
      </c>
    </row>
    <row r="263" spans="1:12" x14ac:dyDescent="0.3">
      <c r="A263">
        <v>11110</v>
      </c>
      <c r="B263" s="2">
        <v>45373</v>
      </c>
      <c r="C263" t="s">
        <v>37</v>
      </c>
      <c r="D263" t="s">
        <v>31</v>
      </c>
      <c r="E263" t="s">
        <v>14</v>
      </c>
      <c r="F263" t="s">
        <v>15</v>
      </c>
      <c r="G263" t="s">
        <v>24</v>
      </c>
      <c r="H263">
        <v>5</v>
      </c>
      <c r="I263" s="3">
        <v>21</v>
      </c>
      <c r="J263" s="3">
        <v>105</v>
      </c>
      <c r="K263" t="s">
        <v>17</v>
      </c>
      <c r="L263" t="s">
        <v>18</v>
      </c>
    </row>
    <row r="264" spans="1:12" x14ac:dyDescent="0.3">
      <c r="A264">
        <v>10450</v>
      </c>
      <c r="B264" s="2">
        <v>45374</v>
      </c>
      <c r="C264" t="s">
        <v>12</v>
      </c>
      <c r="D264" t="s">
        <v>13</v>
      </c>
      <c r="E264" t="s">
        <v>23</v>
      </c>
      <c r="F264" t="s">
        <v>38</v>
      </c>
      <c r="G264" t="s">
        <v>43</v>
      </c>
      <c r="H264">
        <v>5</v>
      </c>
      <c r="I264" s="3">
        <v>56</v>
      </c>
      <c r="J264" s="3">
        <v>280</v>
      </c>
      <c r="K264" t="s">
        <v>32</v>
      </c>
      <c r="L264" t="s">
        <v>18</v>
      </c>
    </row>
    <row r="265" spans="1:12" x14ac:dyDescent="0.3">
      <c r="A265">
        <v>10811</v>
      </c>
      <c r="B265" s="2">
        <v>45374</v>
      </c>
      <c r="C265" t="s">
        <v>37</v>
      </c>
      <c r="D265" t="s">
        <v>13</v>
      </c>
      <c r="E265" t="s">
        <v>23</v>
      </c>
      <c r="F265" t="s">
        <v>38</v>
      </c>
      <c r="G265" t="s">
        <v>43</v>
      </c>
      <c r="H265">
        <v>4</v>
      </c>
      <c r="I265" s="3">
        <v>25</v>
      </c>
      <c r="J265" s="3">
        <v>100</v>
      </c>
      <c r="K265" t="s">
        <v>35</v>
      </c>
      <c r="L265" t="s">
        <v>27</v>
      </c>
    </row>
    <row r="266" spans="1:12" x14ac:dyDescent="0.3">
      <c r="A266">
        <v>10813</v>
      </c>
      <c r="B266" s="2">
        <v>45374</v>
      </c>
      <c r="C266" t="s">
        <v>12</v>
      </c>
      <c r="D266" t="s">
        <v>26</v>
      </c>
      <c r="E266" t="s">
        <v>14</v>
      </c>
      <c r="F266" t="s">
        <v>15</v>
      </c>
      <c r="G266" t="s">
        <v>24</v>
      </c>
      <c r="H266">
        <v>3</v>
      </c>
      <c r="I266" s="3">
        <v>140</v>
      </c>
      <c r="J266" s="3">
        <v>420</v>
      </c>
      <c r="K266" t="s">
        <v>30</v>
      </c>
      <c r="L266" t="s">
        <v>20</v>
      </c>
    </row>
    <row r="267" spans="1:12" x14ac:dyDescent="0.3">
      <c r="A267">
        <v>11075</v>
      </c>
      <c r="B267" s="2">
        <v>45374</v>
      </c>
      <c r="C267" t="s">
        <v>40</v>
      </c>
      <c r="D267" t="s">
        <v>26</v>
      </c>
      <c r="E267" t="s">
        <v>23</v>
      </c>
      <c r="F267" t="s">
        <v>38</v>
      </c>
      <c r="G267" t="s">
        <v>39</v>
      </c>
      <c r="H267">
        <v>2</v>
      </c>
      <c r="I267" s="3">
        <v>95</v>
      </c>
      <c r="J267" s="3">
        <v>190</v>
      </c>
      <c r="K267" t="s">
        <v>35</v>
      </c>
      <c r="L267" t="s">
        <v>18</v>
      </c>
    </row>
    <row r="268" spans="1:12" x14ac:dyDescent="0.3">
      <c r="A268">
        <v>10584</v>
      </c>
      <c r="B268" s="2">
        <v>45375</v>
      </c>
      <c r="C268" t="s">
        <v>12</v>
      </c>
      <c r="D268" t="s">
        <v>13</v>
      </c>
      <c r="E268" t="s">
        <v>14</v>
      </c>
      <c r="F268" t="s">
        <v>28</v>
      </c>
      <c r="G268" t="s">
        <v>34</v>
      </c>
      <c r="H268">
        <v>3</v>
      </c>
      <c r="I268" s="3">
        <v>58</v>
      </c>
      <c r="J268" s="3">
        <v>174</v>
      </c>
      <c r="K268" t="s">
        <v>30</v>
      </c>
      <c r="L268" t="s">
        <v>33</v>
      </c>
    </row>
    <row r="269" spans="1:12" x14ac:dyDescent="0.3">
      <c r="A269">
        <v>10714</v>
      </c>
      <c r="B269" s="2">
        <v>45375</v>
      </c>
      <c r="C269" t="s">
        <v>40</v>
      </c>
      <c r="D269" t="s">
        <v>26</v>
      </c>
      <c r="E269" t="s">
        <v>23</v>
      </c>
      <c r="F269" t="s">
        <v>38</v>
      </c>
      <c r="G269" t="s">
        <v>43</v>
      </c>
      <c r="H269">
        <v>2</v>
      </c>
      <c r="I269" s="3">
        <v>111</v>
      </c>
      <c r="J269" s="3">
        <v>222</v>
      </c>
      <c r="K269" t="s">
        <v>30</v>
      </c>
      <c r="L269" t="s">
        <v>33</v>
      </c>
    </row>
    <row r="270" spans="1:12" x14ac:dyDescent="0.3">
      <c r="A270">
        <v>10190</v>
      </c>
      <c r="B270" s="2">
        <v>45376</v>
      </c>
      <c r="C270" t="s">
        <v>12</v>
      </c>
      <c r="D270" t="s">
        <v>26</v>
      </c>
      <c r="E270" t="s">
        <v>14</v>
      </c>
      <c r="F270" t="s">
        <v>28</v>
      </c>
      <c r="G270" t="s">
        <v>36</v>
      </c>
      <c r="H270">
        <v>2</v>
      </c>
      <c r="I270" s="3">
        <v>97</v>
      </c>
      <c r="J270" s="3">
        <v>194</v>
      </c>
      <c r="K270" t="s">
        <v>35</v>
      </c>
      <c r="L270" t="s">
        <v>33</v>
      </c>
    </row>
    <row r="271" spans="1:12" x14ac:dyDescent="0.3">
      <c r="A271">
        <v>10335</v>
      </c>
      <c r="B271" s="2">
        <v>45376</v>
      </c>
      <c r="C271" t="s">
        <v>21</v>
      </c>
      <c r="D271" t="s">
        <v>42</v>
      </c>
      <c r="E271" t="s">
        <v>23</v>
      </c>
      <c r="F271" t="s">
        <v>15</v>
      </c>
      <c r="G271" t="s">
        <v>16</v>
      </c>
      <c r="H271">
        <v>2</v>
      </c>
      <c r="I271" s="3">
        <v>47</v>
      </c>
      <c r="J271" s="3">
        <v>94</v>
      </c>
      <c r="K271" t="s">
        <v>30</v>
      </c>
      <c r="L271" t="s">
        <v>18</v>
      </c>
    </row>
    <row r="272" spans="1:12" x14ac:dyDescent="0.3">
      <c r="A272">
        <v>10824</v>
      </c>
      <c r="B272" s="2">
        <v>45376</v>
      </c>
      <c r="C272" t="s">
        <v>21</v>
      </c>
      <c r="D272" t="s">
        <v>31</v>
      </c>
      <c r="E272" t="s">
        <v>23</v>
      </c>
      <c r="F272" t="s">
        <v>28</v>
      </c>
      <c r="G272" t="s">
        <v>29</v>
      </c>
      <c r="H272">
        <v>3</v>
      </c>
      <c r="I272" s="3">
        <v>122</v>
      </c>
      <c r="J272" s="3">
        <v>366</v>
      </c>
      <c r="K272" t="s">
        <v>25</v>
      </c>
      <c r="L272" t="s">
        <v>20</v>
      </c>
    </row>
    <row r="273" spans="1:12" x14ac:dyDescent="0.3">
      <c r="A273">
        <v>11065</v>
      </c>
      <c r="B273" s="2">
        <v>45376</v>
      </c>
      <c r="C273" t="s">
        <v>40</v>
      </c>
      <c r="D273" t="s">
        <v>26</v>
      </c>
      <c r="E273" t="s">
        <v>23</v>
      </c>
      <c r="F273" t="s">
        <v>38</v>
      </c>
      <c r="G273" t="s">
        <v>43</v>
      </c>
      <c r="H273">
        <v>4</v>
      </c>
      <c r="I273" s="3">
        <v>117</v>
      </c>
      <c r="J273" s="3">
        <v>468</v>
      </c>
      <c r="K273" t="s">
        <v>32</v>
      </c>
      <c r="L273" t="s">
        <v>33</v>
      </c>
    </row>
    <row r="274" spans="1:12" x14ac:dyDescent="0.3">
      <c r="A274">
        <v>10102</v>
      </c>
      <c r="B274" s="2">
        <v>45377</v>
      </c>
      <c r="C274" t="s">
        <v>37</v>
      </c>
      <c r="D274" t="s">
        <v>31</v>
      </c>
      <c r="E274" t="s">
        <v>14</v>
      </c>
      <c r="F274" t="s">
        <v>15</v>
      </c>
      <c r="G274" t="s">
        <v>24</v>
      </c>
      <c r="H274">
        <v>1</v>
      </c>
      <c r="I274" s="3">
        <v>133</v>
      </c>
      <c r="J274" s="3">
        <v>133</v>
      </c>
      <c r="K274" t="s">
        <v>35</v>
      </c>
      <c r="L274" t="s">
        <v>18</v>
      </c>
    </row>
    <row r="275" spans="1:12" x14ac:dyDescent="0.3">
      <c r="A275">
        <v>10268</v>
      </c>
      <c r="B275" s="2">
        <v>45377</v>
      </c>
      <c r="C275" t="s">
        <v>21</v>
      </c>
      <c r="D275" t="s">
        <v>26</v>
      </c>
      <c r="E275" t="s">
        <v>23</v>
      </c>
      <c r="F275" t="s">
        <v>38</v>
      </c>
      <c r="G275" t="s">
        <v>39</v>
      </c>
      <c r="H275">
        <v>2</v>
      </c>
      <c r="I275" s="3">
        <v>36</v>
      </c>
      <c r="J275" s="3">
        <v>72</v>
      </c>
      <c r="K275" t="s">
        <v>35</v>
      </c>
      <c r="L275" t="s">
        <v>27</v>
      </c>
    </row>
    <row r="276" spans="1:12" x14ac:dyDescent="0.3">
      <c r="A276">
        <v>10510</v>
      </c>
      <c r="B276" s="2">
        <v>45377</v>
      </c>
      <c r="C276" t="s">
        <v>21</v>
      </c>
      <c r="D276" t="s">
        <v>31</v>
      </c>
      <c r="E276" t="s">
        <v>14</v>
      </c>
      <c r="F276" t="s">
        <v>15</v>
      </c>
      <c r="G276" t="s">
        <v>19</v>
      </c>
      <c r="H276">
        <v>1</v>
      </c>
      <c r="I276" s="3">
        <v>73</v>
      </c>
      <c r="J276" s="3">
        <v>73</v>
      </c>
      <c r="K276" t="s">
        <v>25</v>
      </c>
      <c r="L276" t="s">
        <v>27</v>
      </c>
    </row>
    <row r="277" spans="1:12" x14ac:dyDescent="0.3">
      <c r="A277">
        <v>10963</v>
      </c>
      <c r="B277" s="2">
        <v>45378</v>
      </c>
      <c r="C277" t="s">
        <v>21</v>
      </c>
      <c r="D277" t="s">
        <v>31</v>
      </c>
      <c r="E277" t="s">
        <v>23</v>
      </c>
      <c r="F277" t="s">
        <v>28</v>
      </c>
      <c r="G277" t="s">
        <v>29</v>
      </c>
      <c r="H277">
        <v>5</v>
      </c>
      <c r="I277" s="3">
        <v>139</v>
      </c>
      <c r="J277" s="3">
        <v>695</v>
      </c>
      <c r="K277" t="s">
        <v>17</v>
      </c>
      <c r="L277" t="s">
        <v>20</v>
      </c>
    </row>
    <row r="278" spans="1:12" x14ac:dyDescent="0.3">
      <c r="A278">
        <v>10208</v>
      </c>
      <c r="B278" s="2">
        <v>45379</v>
      </c>
      <c r="C278" t="s">
        <v>21</v>
      </c>
      <c r="D278" t="s">
        <v>13</v>
      </c>
      <c r="E278" t="s">
        <v>14</v>
      </c>
      <c r="F278" t="s">
        <v>15</v>
      </c>
      <c r="G278" t="s">
        <v>16</v>
      </c>
      <c r="H278">
        <v>5</v>
      </c>
      <c r="I278" s="3">
        <v>142</v>
      </c>
      <c r="J278" s="3">
        <v>710</v>
      </c>
      <c r="K278" t="s">
        <v>25</v>
      </c>
      <c r="L278" t="s">
        <v>18</v>
      </c>
    </row>
    <row r="279" spans="1:12" x14ac:dyDescent="0.3">
      <c r="A279">
        <v>10360</v>
      </c>
      <c r="B279" s="2">
        <v>45379</v>
      </c>
      <c r="C279" t="s">
        <v>21</v>
      </c>
      <c r="D279" t="s">
        <v>13</v>
      </c>
      <c r="E279" t="s">
        <v>14</v>
      </c>
      <c r="F279" t="s">
        <v>38</v>
      </c>
      <c r="G279" t="s">
        <v>41</v>
      </c>
      <c r="H279">
        <v>1</v>
      </c>
      <c r="I279" s="3">
        <v>107</v>
      </c>
      <c r="J279" s="3">
        <v>107</v>
      </c>
      <c r="K279" t="s">
        <v>17</v>
      </c>
      <c r="L279" t="s">
        <v>18</v>
      </c>
    </row>
    <row r="280" spans="1:12" x14ac:dyDescent="0.3">
      <c r="A280">
        <v>10821</v>
      </c>
      <c r="B280" s="2">
        <v>45379</v>
      </c>
      <c r="C280" t="s">
        <v>40</v>
      </c>
      <c r="D280" t="s">
        <v>26</v>
      </c>
      <c r="E280" t="s">
        <v>23</v>
      </c>
      <c r="F280" t="s">
        <v>38</v>
      </c>
      <c r="G280" t="s">
        <v>39</v>
      </c>
      <c r="H280">
        <v>3</v>
      </c>
      <c r="I280" s="3">
        <v>149</v>
      </c>
      <c r="J280" s="3">
        <v>447</v>
      </c>
      <c r="K280" t="s">
        <v>30</v>
      </c>
      <c r="L280" t="s">
        <v>33</v>
      </c>
    </row>
    <row r="281" spans="1:12" x14ac:dyDescent="0.3">
      <c r="A281">
        <v>11005</v>
      </c>
      <c r="B281" s="2">
        <v>45379</v>
      </c>
      <c r="C281" t="s">
        <v>37</v>
      </c>
      <c r="D281" t="s">
        <v>31</v>
      </c>
      <c r="E281" t="s">
        <v>23</v>
      </c>
      <c r="F281" t="s">
        <v>28</v>
      </c>
      <c r="G281" t="s">
        <v>29</v>
      </c>
      <c r="H281">
        <v>4</v>
      </c>
      <c r="I281" s="3">
        <v>117</v>
      </c>
      <c r="J281" s="3">
        <v>468</v>
      </c>
      <c r="K281" t="s">
        <v>32</v>
      </c>
      <c r="L281" t="s">
        <v>18</v>
      </c>
    </row>
    <row r="282" spans="1:12" x14ac:dyDescent="0.3">
      <c r="A282">
        <v>11033</v>
      </c>
      <c r="B282" s="2">
        <v>45379</v>
      </c>
      <c r="C282" t="s">
        <v>12</v>
      </c>
      <c r="D282" t="s">
        <v>31</v>
      </c>
      <c r="E282" t="s">
        <v>14</v>
      </c>
      <c r="F282" t="s">
        <v>38</v>
      </c>
      <c r="G282" t="s">
        <v>43</v>
      </c>
      <c r="H282">
        <v>3</v>
      </c>
      <c r="I282" s="3">
        <v>50</v>
      </c>
      <c r="J282" s="3">
        <v>150</v>
      </c>
      <c r="K282" t="s">
        <v>35</v>
      </c>
      <c r="L282" t="s">
        <v>18</v>
      </c>
    </row>
    <row r="283" spans="1:12" x14ac:dyDescent="0.3">
      <c r="A283">
        <v>10374</v>
      </c>
      <c r="B283" s="2">
        <v>45380</v>
      </c>
      <c r="C283" t="s">
        <v>37</v>
      </c>
      <c r="D283" t="s">
        <v>42</v>
      </c>
      <c r="E283" t="s">
        <v>14</v>
      </c>
      <c r="F283" t="s">
        <v>15</v>
      </c>
      <c r="G283" t="s">
        <v>24</v>
      </c>
      <c r="H283">
        <v>4</v>
      </c>
      <c r="I283" s="3">
        <v>29</v>
      </c>
      <c r="J283" s="3">
        <v>116</v>
      </c>
      <c r="K283" t="s">
        <v>17</v>
      </c>
      <c r="L283" t="s">
        <v>27</v>
      </c>
    </row>
    <row r="284" spans="1:12" x14ac:dyDescent="0.3">
      <c r="A284">
        <v>10618</v>
      </c>
      <c r="B284" s="2">
        <v>45380</v>
      </c>
      <c r="C284" t="s">
        <v>40</v>
      </c>
      <c r="D284" t="s">
        <v>22</v>
      </c>
      <c r="E284" t="s">
        <v>23</v>
      </c>
      <c r="F284" t="s">
        <v>38</v>
      </c>
      <c r="G284" t="s">
        <v>43</v>
      </c>
      <c r="H284">
        <v>3</v>
      </c>
      <c r="I284" s="3">
        <v>80</v>
      </c>
      <c r="J284" s="3">
        <v>240</v>
      </c>
      <c r="K284" t="s">
        <v>25</v>
      </c>
      <c r="L284" t="s">
        <v>27</v>
      </c>
    </row>
    <row r="285" spans="1:12" x14ac:dyDescent="0.3">
      <c r="A285">
        <v>11160</v>
      </c>
      <c r="B285" s="2">
        <v>45380</v>
      </c>
      <c r="C285" t="s">
        <v>21</v>
      </c>
      <c r="D285" t="s">
        <v>26</v>
      </c>
      <c r="E285" t="s">
        <v>14</v>
      </c>
      <c r="F285" t="s">
        <v>38</v>
      </c>
      <c r="G285" t="s">
        <v>39</v>
      </c>
      <c r="H285">
        <v>5</v>
      </c>
      <c r="I285" s="3">
        <v>99</v>
      </c>
      <c r="J285" s="3">
        <v>495</v>
      </c>
      <c r="K285" t="s">
        <v>32</v>
      </c>
      <c r="L285" t="s">
        <v>33</v>
      </c>
    </row>
    <row r="286" spans="1:12" x14ac:dyDescent="0.3">
      <c r="A286">
        <v>10087</v>
      </c>
      <c r="B286" s="2">
        <v>45381</v>
      </c>
      <c r="C286" t="s">
        <v>21</v>
      </c>
      <c r="D286" t="s">
        <v>22</v>
      </c>
      <c r="E286" t="s">
        <v>23</v>
      </c>
      <c r="F286" t="s">
        <v>15</v>
      </c>
      <c r="G286" t="s">
        <v>19</v>
      </c>
      <c r="H286">
        <v>5</v>
      </c>
      <c r="I286" s="3">
        <v>30</v>
      </c>
      <c r="J286" s="3">
        <v>150</v>
      </c>
      <c r="K286" t="s">
        <v>35</v>
      </c>
      <c r="L286" t="s">
        <v>20</v>
      </c>
    </row>
    <row r="287" spans="1:12" x14ac:dyDescent="0.3">
      <c r="A287">
        <v>10349</v>
      </c>
      <c r="B287" s="2">
        <v>45381</v>
      </c>
      <c r="C287" t="s">
        <v>21</v>
      </c>
      <c r="D287" t="s">
        <v>31</v>
      </c>
      <c r="E287" t="s">
        <v>14</v>
      </c>
      <c r="F287" t="s">
        <v>15</v>
      </c>
      <c r="G287" t="s">
        <v>16</v>
      </c>
      <c r="H287">
        <v>4</v>
      </c>
      <c r="I287" s="3">
        <v>99</v>
      </c>
      <c r="J287" s="3">
        <v>396</v>
      </c>
      <c r="K287" t="s">
        <v>25</v>
      </c>
      <c r="L287" t="s">
        <v>20</v>
      </c>
    </row>
    <row r="288" spans="1:12" x14ac:dyDescent="0.3">
      <c r="A288">
        <v>10456</v>
      </c>
      <c r="B288" s="2">
        <v>45381</v>
      </c>
      <c r="C288" t="s">
        <v>40</v>
      </c>
      <c r="D288" t="s">
        <v>26</v>
      </c>
      <c r="E288" t="s">
        <v>14</v>
      </c>
      <c r="F288" t="s">
        <v>38</v>
      </c>
      <c r="G288" t="s">
        <v>39</v>
      </c>
      <c r="H288">
        <v>4</v>
      </c>
      <c r="I288" s="3">
        <v>47</v>
      </c>
      <c r="J288" s="3">
        <v>188</v>
      </c>
      <c r="K288" t="s">
        <v>17</v>
      </c>
      <c r="L288" t="s">
        <v>20</v>
      </c>
    </row>
    <row r="289" spans="1:12" x14ac:dyDescent="0.3">
      <c r="A289">
        <v>11004</v>
      </c>
      <c r="B289" s="2">
        <v>45381</v>
      </c>
      <c r="C289" t="s">
        <v>40</v>
      </c>
      <c r="D289" t="s">
        <v>26</v>
      </c>
      <c r="E289" t="s">
        <v>14</v>
      </c>
      <c r="F289" t="s">
        <v>15</v>
      </c>
      <c r="G289" t="s">
        <v>19</v>
      </c>
      <c r="H289">
        <v>2</v>
      </c>
      <c r="I289" s="3">
        <v>77</v>
      </c>
      <c r="J289" s="3">
        <v>154</v>
      </c>
      <c r="K289" t="s">
        <v>17</v>
      </c>
      <c r="L289" t="s">
        <v>33</v>
      </c>
    </row>
    <row r="290" spans="1:12" x14ac:dyDescent="0.3">
      <c r="A290">
        <v>10354</v>
      </c>
      <c r="B290" s="2">
        <v>45382</v>
      </c>
      <c r="C290" t="s">
        <v>40</v>
      </c>
      <c r="D290" t="s">
        <v>22</v>
      </c>
      <c r="E290" t="s">
        <v>23</v>
      </c>
      <c r="F290" t="s">
        <v>15</v>
      </c>
      <c r="G290" t="s">
        <v>24</v>
      </c>
      <c r="H290">
        <v>3</v>
      </c>
      <c r="I290" s="3">
        <v>52</v>
      </c>
      <c r="J290" s="3">
        <v>156</v>
      </c>
      <c r="K290" t="s">
        <v>17</v>
      </c>
      <c r="L290" t="s">
        <v>18</v>
      </c>
    </row>
    <row r="291" spans="1:12" x14ac:dyDescent="0.3">
      <c r="A291">
        <v>10619</v>
      </c>
      <c r="B291" s="2">
        <v>45382</v>
      </c>
      <c r="C291" t="s">
        <v>37</v>
      </c>
      <c r="D291" t="s">
        <v>42</v>
      </c>
      <c r="E291" t="s">
        <v>14</v>
      </c>
      <c r="F291" t="s">
        <v>38</v>
      </c>
      <c r="G291" t="s">
        <v>43</v>
      </c>
      <c r="H291">
        <v>1</v>
      </c>
      <c r="I291" s="3">
        <v>133</v>
      </c>
      <c r="J291" s="3">
        <v>133</v>
      </c>
      <c r="K291" t="s">
        <v>17</v>
      </c>
      <c r="L291" t="s">
        <v>18</v>
      </c>
    </row>
    <row r="292" spans="1:12" x14ac:dyDescent="0.3">
      <c r="A292">
        <v>10938</v>
      </c>
      <c r="B292" s="2">
        <v>45382</v>
      </c>
      <c r="C292" t="s">
        <v>12</v>
      </c>
      <c r="D292" t="s">
        <v>26</v>
      </c>
      <c r="E292" t="s">
        <v>23</v>
      </c>
      <c r="F292" t="s">
        <v>15</v>
      </c>
      <c r="G292" t="s">
        <v>16</v>
      </c>
      <c r="H292">
        <v>2</v>
      </c>
      <c r="I292" s="3">
        <v>128</v>
      </c>
      <c r="J292" s="3">
        <v>256</v>
      </c>
      <c r="K292" t="s">
        <v>17</v>
      </c>
      <c r="L292" t="s">
        <v>27</v>
      </c>
    </row>
    <row r="293" spans="1:12" x14ac:dyDescent="0.3">
      <c r="A293">
        <v>10014</v>
      </c>
      <c r="B293" s="2">
        <v>45383</v>
      </c>
      <c r="C293" t="s">
        <v>40</v>
      </c>
      <c r="D293" t="s">
        <v>26</v>
      </c>
      <c r="E293" t="s">
        <v>14</v>
      </c>
      <c r="F293" t="s">
        <v>38</v>
      </c>
      <c r="G293" t="s">
        <v>41</v>
      </c>
      <c r="H293">
        <v>3</v>
      </c>
      <c r="I293" s="3">
        <v>148</v>
      </c>
      <c r="J293" s="3">
        <v>444</v>
      </c>
      <c r="K293" t="s">
        <v>32</v>
      </c>
      <c r="L293" t="s">
        <v>33</v>
      </c>
    </row>
    <row r="294" spans="1:12" x14ac:dyDescent="0.3">
      <c r="A294">
        <v>10460</v>
      </c>
      <c r="B294" s="2">
        <v>45383</v>
      </c>
      <c r="C294" t="s">
        <v>12</v>
      </c>
      <c r="D294" t="s">
        <v>42</v>
      </c>
      <c r="E294" t="s">
        <v>23</v>
      </c>
      <c r="F294" t="s">
        <v>15</v>
      </c>
      <c r="G294" t="s">
        <v>16</v>
      </c>
      <c r="H294">
        <v>4</v>
      </c>
      <c r="I294" s="3">
        <v>60</v>
      </c>
      <c r="J294" s="3">
        <v>240</v>
      </c>
      <c r="K294" t="s">
        <v>25</v>
      </c>
      <c r="L294" t="s">
        <v>20</v>
      </c>
    </row>
    <row r="295" spans="1:12" x14ac:dyDescent="0.3">
      <c r="A295">
        <v>10665</v>
      </c>
      <c r="B295" s="2">
        <v>45383</v>
      </c>
      <c r="C295" t="s">
        <v>40</v>
      </c>
      <c r="D295" t="s">
        <v>22</v>
      </c>
      <c r="E295" t="s">
        <v>23</v>
      </c>
      <c r="F295" t="s">
        <v>38</v>
      </c>
      <c r="G295" t="s">
        <v>41</v>
      </c>
      <c r="H295">
        <v>1</v>
      </c>
      <c r="I295" s="3">
        <v>21</v>
      </c>
      <c r="J295" s="3">
        <v>21</v>
      </c>
      <c r="K295" t="s">
        <v>30</v>
      </c>
      <c r="L295" t="s">
        <v>27</v>
      </c>
    </row>
    <row r="296" spans="1:12" x14ac:dyDescent="0.3">
      <c r="A296">
        <v>10711</v>
      </c>
      <c r="B296" s="2">
        <v>45383</v>
      </c>
      <c r="C296" t="s">
        <v>21</v>
      </c>
      <c r="D296" t="s">
        <v>13</v>
      </c>
      <c r="E296" t="s">
        <v>14</v>
      </c>
      <c r="F296" t="s">
        <v>28</v>
      </c>
      <c r="G296" t="s">
        <v>36</v>
      </c>
      <c r="H296">
        <v>3</v>
      </c>
      <c r="I296" s="3">
        <v>126</v>
      </c>
      <c r="J296" s="3">
        <v>378</v>
      </c>
      <c r="K296" t="s">
        <v>25</v>
      </c>
      <c r="L296" t="s">
        <v>33</v>
      </c>
    </row>
    <row r="297" spans="1:12" x14ac:dyDescent="0.3">
      <c r="A297">
        <v>10501</v>
      </c>
      <c r="B297" s="2">
        <v>45384</v>
      </c>
      <c r="C297" t="s">
        <v>12</v>
      </c>
      <c r="D297" t="s">
        <v>22</v>
      </c>
      <c r="E297" t="s">
        <v>14</v>
      </c>
      <c r="F297" t="s">
        <v>38</v>
      </c>
      <c r="G297" t="s">
        <v>39</v>
      </c>
      <c r="H297">
        <v>3</v>
      </c>
      <c r="I297" s="3">
        <v>135</v>
      </c>
      <c r="J297" s="3">
        <v>405</v>
      </c>
      <c r="K297" t="s">
        <v>25</v>
      </c>
      <c r="L297" t="s">
        <v>33</v>
      </c>
    </row>
    <row r="298" spans="1:12" x14ac:dyDescent="0.3">
      <c r="A298">
        <v>10594</v>
      </c>
      <c r="B298" s="2">
        <v>45384</v>
      </c>
      <c r="C298" t="s">
        <v>12</v>
      </c>
      <c r="D298" t="s">
        <v>26</v>
      </c>
      <c r="E298" t="s">
        <v>14</v>
      </c>
      <c r="F298" t="s">
        <v>15</v>
      </c>
      <c r="G298" t="s">
        <v>24</v>
      </c>
      <c r="H298">
        <v>4</v>
      </c>
      <c r="I298" s="3">
        <v>146</v>
      </c>
      <c r="J298" s="3">
        <v>584</v>
      </c>
      <c r="K298" t="s">
        <v>25</v>
      </c>
      <c r="L298" t="s">
        <v>18</v>
      </c>
    </row>
    <row r="299" spans="1:12" x14ac:dyDescent="0.3">
      <c r="A299">
        <v>10696</v>
      </c>
      <c r="B299" s="2">
        <v>45385</v>
      </c>
      <c r="C299" t="s">
        <v>12</v>
      </c>
      <c r="D299" t="s">
        <v>13</v>
      </c>
      <c r="E299" t="s">
        <v>14</v>
      </c>
      <c r="F299" t="s">
        <v>28</v>
      </c>
      <c r="G299" t="s">
        <v>36</v>
      </c>
      <c r="H299">
        <v>2</v>
      </c>
      <c r="I299" s="3">
        <v>93</v>
      </c>
      <c r="J299" s="3">
        <v>186</v>
      </c>
      <c r="K299" t="s">
        <v>32</v>
      </c>
      <c r="L299" t="s">
        <v>18</v>
      </c>
    </row>
    <row r="300" spans="1:12" x14ac:dyDescent="0.3">
      <c r="A300">
        <v>10800</v>
      </c>
      <c r="B300" s="2">
        <v>45385</v>
      </c>
      <c r="C300" t="s">
        <v>21</v>
      </c>
      <c r="D300" t="s">
        <v>31</v>
      </c>
      <c r="E300" t="s">
        <v>14</v>
      </c>
      <c r="F300" t="s">
        <v>28</v>
      </c>
      <c r="G300" t="s">
        <v>36</v>
      </c>
      <c r="H300">
        <v>4</v>
      </c>
      <c r="I300" s="3">
        <v>65</v>
      </c>
      <c r="J300" s="3">
        <v>260</v>
      </c>
      <c r="K300" t="s">
        <v>30</v>
      </c>
      <c r="L300" t="s">
        <v>33</v>
      </c>
    </row>
    <row r="301" spans="1:12" x14ac:dyDescent="0.3">
      <c r="A301">
        <v>11060</v>
      </c>
      <c r="B301" s="2">
        <v>45385</v>
      </c>
      <c r="C301" t="s">
        <v>21</v>
      </c>
      <c r="D301" t="s">
        <v>13</v>
      </c>
      <c r="E301" t="s">
        <v>23</v>
      </c>
      <c r="F301" t="s">
        <v>28</v>
      </c>
      <c r="G301" t="s">
        <v>36</v>
      </c>
      <c r="H301">
        <v>4</v>
      </c>
      <c r="I301" s="3">
        <v>58</v>
      </c>
      <c r="J301" s="3">
        <v>232</v>
      </c>
      <c r="K301" t="s">
        <v>30</v>
      </c>
      <c r="L301" t="s">
        <v>27</v>
      </c>
    </row>
    <row r="302" spans="1:12" x14ac:dyDescent="0.3">
      <c r="A302">
        <v>10500</v>
      </c>
      <c r="B302" s="2">
        <v>45386</v>
      </c>
      <c r="C302" t="s">
        <v>21</v>
      </c>
      <c r="D302" t="s">
        <v>42</v>
      </c>
      <c r="E302" t="s">
        <v>14</v>
      </c>
      <c r="F302" t="s">
        <v>38</v>
      </c>
      <c r="G302" t="s">
        <v>43</v>
      </c>
      <c r="H302">
        <v>3</v>
      </c>
      <c r="I302" s="3">
        <v>113</v>
      </c>
      <c r="J302" s="3">
        <v>339</v>
      </c>
      <c r="K302" t="s">
        <v>30</v>
      </c>
      <c r="L302" t="s">
        <v>33</v>
      </c>
    </row>
    <row r="303" spans="1:12" x14ac:dyDescent="0.3">
      <c r="A303">
        <v>10221</v>
      </c>
      <c r="B303" s="2">
        <v>45387</v>
      </c>
      <c r="C303" t="s">
        <v>40</v>
      </c>
      <c r="D303" t="s">
        <v>26</v>
      </c>
      <c r="E303" t="s">
        <v>23</v>
      </c>
      <c r="F303" t="s">
        <v>28</v>
      </c>
      <c r="G303" t="s">
        <v>36</v>
      </c>
      <c r="H303">
        <v>4</v>
      </c>
      <c r="I303" s="3">
        <v>85</v>
      </c>
      <c r="J303" s="3">
        <v>340</v>
      </c>
      <c r="K303" t="s">
        <v>17</v>
      </c>
      <c r="L303" t="s">
        <v>20</v>
      </c>
    </row>
    <row r="304" spans="1:12" x14ac:dyDescent="0.3">
      <c r="A304">
        <v>10283</v>
      </c>
      <c r="B304" s="2">
        <v>45387</v>
      </c>
      <c r="C304" t="s">
        <v>21</v>
      </c>
      <c r="D304" t="s">
        <v>42</v>
      </c>
      <c r="E304" t="s">
        <v>14</v>
      </c>
      <c r="F304" t="s">
        <v>38</v>
      </c>
      <c r="G304" t="s">
        <v>41</v>
      </c>
      <c r="H304">
        <v>4</v>
      </c>
      <c r="I304" s="3">
        <v>67</v>
      </c>
      <c r="J304" s="3">
        <v>268</v>
      </c>
      <c r="K304" t="s">
        <v>17</v>
      </c>
      <c r="L304" t="s">
        <v>20</v>
      </c>
    </row>
    <row r="305" spans="1:12" x14ac:dyDescent="0.3">
      <c r="A305">
        <v>10366</v>
      </c>
      <c r="B305" s="2">
        <v>45387</v>
      </c>
      <c r="C305" t="s">
        <v>21</v>
      </c>
      <c r="D305" t="s">
        <v>31</v>
      </c>
      <c r="E305" t="s">
        <v>23</v>
      </c>
      <c r="F305" t="s">
        <v>28</v>
      </c>
      <c r="G305" t="s">
        <v>29</v>
      </c>
      <c r="H305">
        <v>4</v>
      </c>
      <c r="I305" s="3">
        <v>114</v>
      </c>
      <c r="J305" s="3">
        <v>456</v>
      </c>
      <c r="K305" t="s">
        <v>30</v>
      </c>
      <c r="L305" t="s">
        <v>27</v>
      </c>
    </row>
    <row r="306" spans="1:12" x14ac:dyDescent="0.3">
      <c r="A306">
        <v>10877</v>
      </c>
      <c r="B306" s="2">
        <v>45387</v>
      </c>
      <c r="C306" t="s">
        <v>12</v>
      </c>
      <c r="D306" t="s">
        <v>13</v>
      </c>
      <c r="E306" t="s">
        <v>14</v>
      </c>
      <c r="F306" t="s">
        <v>38</v>
      </c>
      <c r="G306" t="s">
        <v>43</v>
      </c>
      <c r="H306">
        <v>5</v>
      </c>
      <c r="I306" s="3">
        <v>133</v>
      </c>
      <c r="J306" s="3">
        <v>665</v>
      </c>
      <c r="K306" t="s">
        <v>25</v>
      </c>
      <c r="L306" t="s">
        <v>20</v>
      </c>
    </row>
    <row r="307" spans="1:12" x14ac:dyDescent="0.3">
      <c r="A307">
        <v>11017</v>
      </c>
      <c r="B307" s="2">
        <v>45387</v>
      </c>
      <c r="C307" t="s">
        <v>12</v>
      </c>
      <c r="D307" t="s">
        <v>26</v>
      </c>
      <c r="E307" t="s">
        <v>14</v>
      </c>
      <c r="F307" t="s">
        <v>28</v>
      </c>
      <c r="G307" t="s">
        <v>36</v>
      </c>
      <c r="H307">
        <v>2</v>
      </c>
      <c r="I307" s="3">
        <v>150</v>
      </c>
      <c r="J307" s="3">
        <v>300</v>
      </c>
      <c r="K307" t="s">
        <v>35</v>
      </c>
      <c r="L307" t="s">
        <v>20</v>
      </c>
    </row>
    <row r="308" spans="1:12" x14ac:dyDescent="0.3">
      <c r="A308">
        <v>10377</v>
      </c>
      <c r="B308" s="2">
        <v>45388</v>
      </c>
      <c r="C308" t="s">
        <v>21</v>
      </c>
      <c r="D308" t="s">
        <v>13</v>
      </c>
      <c r="E308" t="s">
        <v>23</v>
      </c>
      <c r="F308" t="s">
        <v>38</v>
      </c>
      <c r="G308" t="s">
        <v>39</v>
      </c>
      <c r="H308">
        <v>4</v>
      </c>
      <c r="I308" s="3">
        <v>42</v>
      </c>
      <c r="J308" s="3">
        <v>168</v>
      </c>
      <c r="K308" t="s">
        <v>30</v>
      </c>
      <c r="L308" t="s">
        <v>33</v>
      </c>
    </row>
    <row r="309" spans="1:12" x14ac:dyDescent="0.3">
      <c r="A309">
        <v>10572</v>
      </c>
      <c r="B309" s="2">
        <v>45388</v>
      </c>
      <c r="C309" t="s">
        <v>40</v>
      </c>
      <c r="D309" t="s">
        <v>13</v>
      </c>
      <c r="E309" t="s">
        <v>14</v>
      </c>
      <c r="F309" t="s">
        <v>38</v>
      </c>
      <c r="G309" t="s">
        <v>39</v>
      </c>
      <c r="H309">
        <v>3</v>
      </c>
      <c r="I309" s="3">
        <v>58</v>
      </c>
      <c r="J309" s="3">
        <v>174</v>
      </c>
      <c r="K309" t="s">
        <v>25</v>
      </c>
      <c r="L309" t="s">
        <v>33</v>
      </c>
    </row>
    <row r="310" spans="1:12" x14ac:dyDescent="0.3">
      <c r="A310">
        <v>10541</v>
      </c>
      <c r="B310" s="2">
        <v>45389</v>
      </c>
      <c r="C310" t="s">
        <v>12</v>
      </c>
      <c r="D310" t="s">
        <v>22</v>
      </c>
      <c r="E310" t="s">
        <v>14</v>
      </c>
      <c r="F310" t="s">
        <v>28</v>
      </c>
      <c r="G310" t="s">
        <v>36</v>
      </c>
      <c r="H310">
        <v>2</v>
      </c>
      <c r="I310" s="3">
        <v>118</v>
      </c>
      <c r="J310" s="3">
        <v>236</v>
      </c>
      <c r="K310" t="s">
        <v>17</v>
      </c>
      <c r="L310" t="s">
        <v>20</v>
      </c>
    </row>
    <row r="311" spans="1:12" x14ac:dyDescent="0.3">
      <c r="A311">
        <v>11012</v>
      </c>
      <c r="B311" s="2">
        <v>45389</v>
      </c>
      <c r="C311" t="s">
        <v>37</v>
      </c>
      <c r="D311" t="s">
        <v>31</v>
      </c>
      <c r="E311" t="s">
        <v>14</v>
      </c>
      <c r="F311" t="s">
        <v>28</v>
      </c>
      <c r="G311" t="s">
        <v>29</v>
      </c>
      <c r="H311">
        <v>2</v>
      </c>
      <c r="I311" s="3">
        <v>48</v>
      </c>
      <c r="J311" s="3">
        <v>96</v>
      </c>
      <c r="K311" t="s">
        <v>30</v>
      </c>
      <c r="L311" t="s">
        <v>27</v>
      </c>
    </row>
    <row r="312" spans="1:12" x14ac:dyDescent="0.3">
      <c r="A312">
        <v>11153</v>
      </c>
      <c r="B312" s="2">
        <v>45389</v>
      </c>
      <c r="C312" t="s">
        <v>40</v>
      </c>
      <c r="D312" t="s">
        <v>22</v>
      </c>
      <c r="E312" t="s">
        <v>23</v>
      </c>
      <c r="F312" t="s">
        <v>15</v>
      </c>
      <c r="G312" t="s">
        <v>19</v>
      </c>
      <c r="H312">
        <v>3</v>
      </c>
      <c r="I312" s="3">
        <v>99</v>
      </c>
      <c r="J312" s="3">
        <v>297</v>
      </c>
      <c r="K312" t="s">
        <v>17</v>
      </c>
      <c r="L312" t="s">
        <v>18</v>
      </c>
    </row>
    <row r="313" spans="1:12" x14ac:dyDescent="0.3">
      <c r="A313">
        <v>11185</v>
      </c>
      <c r="B313" s="2">
        <v>45389</v>
      </c>
      <c r="C313" t="s">
        <v>12</v>
      </c>
      <c r="D313" t="s">
        <v>22</v>
      </c>
      <c r="E313" t="s">
        <v>23</v>
      </c>
      <c r="F313" t="s">
        <v>38</v>
      </c>
      <c r="G313" t="s">
        <v>41</v>
      </c>
      <c r="H313">
        <v>5</v>
      </c>
      <c r="I313" s="3">
        <v>147</v>
      </c>
      <c r="J313" s="3">
        <v>735</v>
      </c>
      <c r="K313" t="s">
        <v>17</v>
      </c>
      <c r="L313" t="s">
        <v>33</v>
      </c>
    </row>
    <row r="314" spans="1:12" x14ac:dyDescent="0.3">
      <c r="A314">
        <v>10023</v>
      </c>
      <c r="B314" s="2">
        <v>45390</v>
      </c>
      <c r="C314" t="s">
        <v>12</v>
      </c>
      <c r="D314" t="s">
        <v>22</v>
      </c>
      <c r="E314" t="s">
        <v>23</v>
      </c>
      <c r="F314" t="s">
        <v>15</v>
      </c>
      <c r="G314" t="s">
        <v>19</v>
      </c>
      <c r="H314">
        <v>1</v>
      </c>
      <c r="I314" s="3">
        <v>83</v>
      </c>
      <c r="J314" s="3">
        <v>83</v>
      </c>
      <c r="K314" t="s">
        <v>32</v>
      </c>
      <c r="L314" t="s">
        <v>27</v>
      </c>
    </row>
    <row r="315" spans="1:12" x14ac:dyDescent="0.3">
      <c r="A315">
        <v>10254</v>
      </c>
      <c r="B315" s="2">
        <v>45390</v>
      </c>
      <c r="C315" t="s">
        <v>37</v>
      </c>
      <c r="D315" t="s">
        <v>26</v>
      </c>
      <c r="E315" t="s">
        <v>23</v>
      </c>
      <c r="F315" t="s">
        <v>28</v>
      </c>
      <c r="G315" t="s">
        <v>36</v>
      </c>
      <c r="H315">
        <v>2</v>
      </c>
      <c r="I315" s="3">
        <v>81</v>
      </c>
      <c r="J315" s="3">
        <v>162</v>
      </c>
      <c r="K315" t="s">
        <v>30</v>
      </c>
      <c r="L315" t="s">
        <v>18</v>
      </c>
    </row>
    <row r="316" spans="1:12" x14ac:dyDescent="0.3">
      <c r="A316">
        <v>10645</v>
      </c>
      <c r="B316" s="2">
        <v>45390</v>
      </c>
      <c r="C316" t="s">
        <v>40</v>
      </c>
      <c r="D316" t="s">
        <v>31</v>
      </c>
      <c r="E316" t="s">
        <v>14</v>
      </c>
      <c r="F316" t="s">
        <v>28</v>
      </c>
      <c r="G316" t="s">
        <v>36</v>
      </c>
      <c r="H316">
        <v>3</v>
      </c>
      <c r="I316" s="3">
        <v>84</v>
      </c>
      <c r="J316" s="3">
        <v>252</v>
      </c>
      <c r="K316" t="s">
        <v>25</v>
      </c>
      <c r="L316" t="s">
        <v>20</v>
      </c>
    </row>
    <row r="317" spans="1:12" x14ac:dyDescent="0.3">
      <c r="A317">
        <v>10843</v>
      </c>
      <c r="B317" s="2">
        <v>45390</v>
      </c>
      <c r="C317" t="s">
        <v>40</v>
      </c>
      <c r="D317" t="s">
        <v>22</v>
      </c>
      <c r="E317" t="s">
        <v>14</v>
      </c>
      <c r="F317" t="s">
        <v>15</v>
      </c>
      <c r="G317" t="s">
        <v>24</v>
      </c>
      <c r="H317">
        <v>1</v>
      </c>
      <c r="I317" s="3">
        <v>41</v>
      </c>
      <c r="J317" s="3">
        <v>41</v>
      </c>
      <c r="K317" t="s">
        <v>30</v>
      </c>
      <c r="L317" t="s">
        <v>18</v>
      </c>
    </row>
    <row r="318" spans="1:12" x14ac:dyDescent="0.3">
      <c r="A318">
        <v>10953</v>
      </c>
      <c r="B318" s="2">
        <v>45390</v>
      </c>
      <c r="C318" t="s">
        <v>37</v>
      </c>
      <c r="D318" t="s">
        <v>42</v>
      </c>
      <c r="E318" t="s">
        <v>23</v>
      </c>
      <c r="F318" t="s">
        <v>28</v>
      </c>
      <c r="G318" t="s">
        <v>34</v>
      </c>
      <c r="H318">
        <v>1</v>
      </c>
      <c r="I318" s="3">
        <v>66</v>
      </c>
      <c r="J318" s="3">
        <v>66</v>
      </c>
      <c r="K318" t="s">
        <v>17</v>
      </c>
      <c r="L318" t="s">
        <v>18</v>
      </c>
    </row>
    <row r="319" spans="1:12" x14ac:dyDescent="0.3">
      <c r="A319">
        <v>11100</v>
      </c>
      <c r="B319" s="2">
        <v>45390</v>
      </c>
      <c r="C319" t="s">
        <v>21</v>
      </c>
      <c r="D319" t="s">
        <v>31</v>
      </c>
      <c r="E319" t="s">
        <v>23</v>
      </c>
      <c r="F319" t="s">
        <v>15</v>
      </c>
      <c r="G319" t="s">
        <v>19</v>
      </c>
      <c r="H319">
        <v>2</v>
      </c>
      <c r="I319" s="3">
        <v>120</v>
      </c>
      <c r="J319" s="3">
        <v>240</v>
      </c>
      <c r="K319" t="s">
        <v>32</v>
      </c>
      <c r="L319" t="s">
        <v>27</v>
      </c>
    </row>
    <row r="320" spans="1:12" x14ac:dyDescent="0.3">
      <c r="A320">
        <v>10145</v>
      </c>
      <c r="B320" s="2">
        <v>45391</v>
      </c>
      <c r="C320" t="s">
        <v>37</v>
      </c>
      <c r="D320" t="s">
        <v>26</v>
      </c>
      <c r="E320" t="s">
        <v>14</v>
      </c>
      <c r="F320" t="s">
        <v>28</v>
      </c>
      <c r="G320" t="s">
        <v>36</v>
      </c>
      <c r="H320">
        <v>1</v>
      </c>
      <c r="I320" s="3">
        <v>150</v>
      </c>
      <c r="J320" s="3">
        <v>150</v>
      </c>
      <c r="K320" t="s">
        <v>32</v>
      </c>
      <c r="L320" t="s">
        <v>18</v>
      </c>
    </row>
    <row r="321" spans="1:12" x14ac:dyDescent="0.3">
      <c r="A321">
        <v>10433</v>
      </c>
      <c r="B321" s="2">
        <v>45391</v>
      </c>
      <c r="C321" t="s">
        <v>37</v>
      </c>
      <c r="D321" t="s">
        <v>42</v>
      </c>
      <c r="E321" t="s">
        <v>14</v>
      </c>
      <c r="F321" t="s">
        <v>15</v>
      </c>
      <c r="G321" t="s">
        <v>24</v>
      </c>
      <c r="H321">
        <v>5</v>
      </c>
      <c r="I321" s="3">
        <v>70</v>
      </c>
      <c r="J321" s="3">
        <v>350</v>
      </c>
      <c r="K321" t="s">
        <v>25</v>
      </c>
      <c r="L321" t="s">
        <v>20</v>
      </c>
    </row>
    <row r="322" spans="1:12" x14ac:dyDescent="0.3">
      <c r="A322">
        <v>11196</v>
      </c>
      <c r="B322" s="2">
        <v>45391</v>
      </c>
      <c r="C322" t="s">
        <v>37</v>
      </c>
      <c r="D322" t="s">
        <v>42</v>
      </c>
      <c r="E322" t="s">
        <v>14</v>
      </c>
      <c r="F322" t="s">
        <v>28</v>
      </c>
      <c r="G322" t="s">
        <v>36</v>
      </c>
      <c r="H322">
        <v>3</v>
      </c>
      <c r="I322" s="3">
        <v>110</v>
      </c>
      <c r="J322" s="3">
        <v>330</v>
      </c>
      <c r="K322" t="s">
        <v>32</v>
      </c>
      <c r="L322" t="s">
        <v>20</v>
      </c>
    </row>
    <row r="323" spans="1:12" x14ac:dyDescent="0.3">
      <c r="A323">
        <v>10285</v>
      </c>
      <c r="B323" s="2">
        <v>45392</v>
      </c>
      <c r="C323" t="s">
        <v>21</v>
      </c>
      <c r="D323" t="s">
        <v>31</v>
      </c>
      <c r="E323" t="s">
        <v>23</v>
      </c>
      <c r="F323" t="s">
        <v>15</v>
      </c>
      <c r="G323" t="s">
        <v>16</v>
      </c>
      <c r="H323">
        <v>3</v>
      </c>
      <c r="I323" s="3">
        <v>103</v>
      </c>
      <c r="J323" s="3">
        <v>309</v>
      </c>
      <c r="K323" t="s">
        <v>30</v>
      </c>
      <c r="L323" t="s">
        <v>33</v>
      </c>
    </row>
    <row r="324" spans="1:12" x14ac:dyDescent="0.3">
      <c r="A324">
        <v>10502</v>
      </c>
      <c r="B324" s="2">
        <v>45392</v>
      </c>
      <c r="C324" t="s">
        <v>12</v>
      </c>
      <c r="D324" t="s">
        <v>13</v>
      </c>
      <c r="E324" t="s">
        <v>23</v>
      </c>
      <c r="F324" t="s">
        <v>28</v>
      </c>
      <c r="G324" t="s">
        <v>36</v>
      </c>
      <c r="H324">
        <v>4</v>
      </c>
      <c r="I324" s="3">
        <v>117</v>
      </c>
      <c r="J324" s="3">
        <v>468</v>
      </c>
      <c r="K324" t="s">
        <v>25</v>
      </c>
      <c r="L324" t="s">
        <v>20</v>
      </c>
    </row>
    <row r="325" spans="1:12" x14ac:dyDescent="0.3">
      <c r="A325">
        <v>10977</v>
      </c>
      <c r="B325" s="2">
        <v>45392</v>
      </c>
      <c r="C325" t="s">
        <v>40</v>
      </c>
      <c r="D325" t="s">
        <v>26</v>
      </c>
      <c r="E325" t="s">
        <v>14</v>
      </c>
      <c r="F325" t="s">
        <v>38</v>
      </c>
      <c r="G325" t="s">
        <v>41</v>
      </c>
      <c r="H325">
        <v>2</v>
      </c>
      <c r="I325" s="3">
        <v>75</v>
      </c>
      <c r="J325" s="3">
        <v>150</v>
      </c>
      <c r="K325" t="s">
        <v>32</v>
      </c>
      <c r="L325" t="s">
        <v>27</v>
      </c>
    </row>
    <row r="326" spans="1:12" x14ac:dyDescent="0.3">
      <c r="A326">
        <v>10404</v>
      </c>
      <c r="B326" s="2">
        <v>45393</v>
      </c>
      <c r="C326" t="s">
        <v>12</v>
      </c>
      <c r="D326" t="s">
        <v>26</v>
      </c>
      <c r="E326" t="s">
        <v>14</v>
      </c>
      <c r="F326" t="s">
        <v>38</v>
      </c>
      <c r="G326" t="s">
        <v>41</v>
      </c>
      <c r="H326">
        <v>1</v>
      </c>
      <c r="I326" s="3">
        <v>147</v>
      </c>
      <c r="J326" s="3">
        <v>147</v>
      </c>
      <c r="K326" t="s">
        <v>35</v>
      </c>
      <c r="L326" t="s">
        <v>27</v>
      </c>
    </row>
    <row r="327" spans="1:12" x14ac:dyDescent="0.3">
      <c r="A327">
        <v>10732</v>
      </c>
      <c r="B327" s="2">
        <v>45393</v>
      </c>
      <c r="C327" t="s">
        <v>37</v>
      </c>
      <c r="D327" t="s">
        <v>13</v>
      </c>
      <c r="E327" t="s">
        <v>23</v>
      </c>
      <c r="F327" t="s">
        <v>15</v>
      </c>
      <c r="G327" t="s">
        <v>16</v>
      </c>
      <c r="H327">
        <v>1</v>
      </c>
      <c r="I327" s="3">
        <v>113</v>
      </c>
      <c r="J327" s="3">
        <v>113</v>
      </c>
      <c r="K327" t="s">
        <v>25</v>
      </c>
      <c r="L327" t="s">
        <v>20</v>
      </c>
    </row>
    <row r="328" spans="1:12" x14ac:dyDescent="0.3">
      <c r="A328">
        <v>10364</v>
      </c>
      <c r="B328" s="2">
        <v>45394</v>
      </c>
      <c r="C328" t="s">
        <v>40</v>
      </c>
      <c r="D328" t="s">
        <v>31</v>
      </c>
      <c r="E328" t="s">
        <v>14</v>
      </c>
      <c r="F328" t="s">
        <v>38</v>
      </c>
      <c r="G328" t="s">
        <v>41</v>
      </c>
      <c r="H328">
        <v>3</v>
      </c>
      <c r="I328" s="3">
        <v>142</v>
      </c>
      <c r="J328" s="3">
        <v>426</v>
      </c>
      <c r="K328" t="s">
        <v>32</v>
      </c>
      <c r="L328" t="s">
        <v>33</v>
      </c>
    </row>
    <row r="329" spans="1:12" x14ac:dyDescent="0.3">
      <c r="A329">
        <v>10393</v>
      </c>
      <c r="B329" s="2">
        <v>45394</v>
      </c>
      <c r="C329" t="s">
        <v>37</v>
      </c>
      <c r="D329" t="s">
        <v>42</v>
      </c>
      <c r="E329" t="s">
        <v>23</v>
      </c>
      <c r="F329" t="s">
        <v>38</v>
      </c>
      <c r="G329" t="s">
        <v>41</v>
      </c>
      <c r="H329">
        <v>2</v>
      </c>
      <c r="I329" s="3">
        <v>55</v>
      </c>
      <c r="J329" s="3">
        <v>110</v>
      </c>
      <c r="K329" t="s">
        <v>32</v>
      </c>
      <c r="L329" t="s">
        <v>33</v>
      </c>
    </row>
    <row r="330" spans="1:12" x14ac:dyDescent="0.3">
      <c r="A330">
        <v>10649</v>
      </c>
      <c r="B330" s="2">
        <v>45394</v>
      </c>
      <c r="C330" t="s">
        <v>21</v>
      </c>
      <c r="D330" t="s">
        <v>13</v>
      </c>
      <c r="E330" t="s">
        <v>23</v>
      </c>
      <c r="F330" t="s">
        <v>28</v>
      </c>
      <c r="G330" t="s">
        <v>29</v>
      </c>
      <c r="H330">
        <v>1</v>
      </c>
      <c r="I330" s="3">
        <v>145</v>
      </c>
      <c r="J330" s="3">
        <v>145</v>
      </c>
      <c r="K330" t="s">
        <v>25</v>
      </c>
      <c r="L330" t="s">
        <v>20</v>
      </c>
    </row>
    <row r="331" spans="1:12" x14ac:dyDescent="0.3">
      <c r="A331">
        <v>10537</v>
      </c>
      <c r="B331" s="2">
        <v>45395</v>
      </c>
      <c r="C331" t="s">
        <v>40</v>
      </c>
      <c r="D331" t="s">
        <v>42</v>
      </c>
      <c r="E331" t="s">
        <v>14</v>
      </c>
      <c r="F331" t="s">
        <v>28</v>
      </c>
      <c r="G331" t="s">
        <v>34</v>
      </c>
      <c r="H331">
        <v>2</v>
      </c>
      <c r="I331" s="3">
        <v>28</v>
      </c>
      <c r="J331" s="3">
        <v>56</v>
      </c>
      <c r="K331" t="s">
        <v>25</v>
      </c>
      <c r="L331" t="s">
        <v>18</v>
      </c>
    </row>
    <row r="332" spans="1:12" x14ac:dyDescent="0.3">
      <c r="A332">
        <v>11183</v>
      </c>
      <c r="B332" s="2">
        <v>45395</v>
      </c>
      <c r="C332" t="s">
        <v>12</v>
      </c>
      <c r="D332" t="s">
        <v>42</v>
      </c>
      <c r="E332" t="s">
        <v>14</v>
      </c>
      <c r="F332" t="s">
        <v>38</v>
      </c>
      <c r="G332" t="s">
        <v>39</v>
      </c>
      <c r="H332">
        <v>3</v>
      </c>
      <c r="I332" s="3">
        <v>77</v>
      </c>
      <c r="J332" s="3">
        <v>231</v>
      </c>
      <c r="K332" t="s">
        <v>25</v>
      </c>
      <c r="L332" t="s">
        <v>18</v>
      </c>
    </row>
    <row r="333" spans="1:12" x14ac:dyDescent="0.3">
      <c r="A333">
        <v>10139</v>
      </c>
      <c r="B333" s="2">
        <v>45396</v>
      </c>
      <c r="C333" t="s">
        <v>37</v>
      </c>
      <c r="D333" t="s">
        <v>13</v>
      </c>
      <c r="E333" t="s">
        <v>14</v>
      </c>
      <c r="F333" t="s">
        <v>38</v>
      </c>
      <c r="G333" t="s">
        <v>43</v>
      </c>
      <c r="H333">
        <v>1</v>
      </c>
      <c r="I333" s="3">
        <v>21</v>
      </c>
      <c r="J333" s="3">
        <v>21</v>
      </c>
      <c r="K333" t="s">
        <v>35</v>
      </c>
      <c r="L333" t="s">
        <v>33</v>
      </c>
    </row>
    <row r="334" spans="1:12" x14ac:dyDescent="0.3">
      <c r="A334">
        <v>10296</v>
      </c>
      <c r="B334" s="2">
        <v>45397</v>
      </c>
      <c r="C334" t="s">
        <v>40</v>
      </c>
      <c r="D334" t="s">
        <v>22</v>
      </c>
      <c r="E334" t="s">
        <v>23</v>
      </c>
      <c r="F334" t="s">
        <v>28</v>
      </c>
      <c r="G334" t="s">
        <v>36</v>
      </c>
      <c r="H334">
        <v>2</v>
      </c>
      <c r="I334" s="3">
        <v>72</v>
      </c>
      <c r="J334" s="3">
        <v>144</v>
      </c>
      <c r="K334" t="s">
        <v>17</v>
      </c>
      <c r="L334" t="s">
        <v>33</v>
      </c>
    </row>
    <row r="335" spans="1:12" x14ac:dyDescent="0.3">
      <c r="A335">
        <v>10362</v>
      </c>
      <c r="B335" s="2">
        <v>45397</v>
      </c>
      <c r="C335" t="s">
        <v>12</v>
      </c>
      <c r="D335" t="s">
        <v>42</v>
      </c>
      <c r="E335" t="s">
        <v>23</v>
      </c>
      <c r="F335" t="s">
        <v>28</v>
      </c>
      <c r="G335" t="s">
        <v>34</v>
      </c>
      <c r="H335">
        <v>1</v>
      </c>
      <c r="I335" s="3">
        <v>104</v>
      </c>
      <c r="J335" s="3">
        <v>104</v>
      </c>
      <c r="K335" t="s">
        <v>35</v>
      </c>
      <c r="L335" t="s">
        <v>33</v>
      </c>
    </row>
    <row r="336" spans="1:12" x14ac:dyDescent="0.3">
      <c r="A336">
        <v>10605</v>
      </c>
      <c r="B336" s="2">
        <v>45397</v>
      </c>
      <c r="C336" t="s">
        <v>40</v>
      </c>
      <c r="D336" t="s">
        <v>42</v>
      </c>
      <c r="E336" t="s">
        <v>23</v>
      </c>
      <c r="F336" t="s">
        <v>38</v>
      </c>
      <c r="G336" t="s">
        <v>41</v>
      </c>
      <c r="H336">
        <v>1</v>
      </c>
      <c r="I336" s="3">
        <v>53</v>
      </c>
      <c r="J336" s="3">
        <v>53</v>
      </c>
      <c r="K336" t="s">
        <v>17</v>
      </c>
      <c r="L336" t="s">
        <v>18</v>
      </c>
    </row>
    <row r="337" spans="1:12" x14ac:dyDescent="0.3">
      <c r="A337">
        <v>11143</v>
      </c>
      <c r="B337" s="2">
        <v>45397</v>
      </c>
      <c r="C337" t="s">
        <v>12</v>
      </c>
      <c r="D337" t="s">
        <v>13</v>
      </c>
      <c r="E337" t="s">
        <v>23</v>
      </c>
      <c r="F337" t="s">
        <v>15</v>
      </c>
      <c r="G337" t="s">
        <v>24</v>
      </c>
      <c r="H337">
        <v>3</v>
      </c>
      <c r="I337" s="3">
        <v>146</v>
      </c>
      <c r="J337" s="3">
        <v>438</v>
      </c>
      <c r="K337" t="s">
        <v>35</v>
      </c>
      <c r="L337" t="s">
        <v>33</v>
      </c>
    </row>
    <row r="338" spans="1:12" x14ac:dyDescent="0.3">
      <c r="A338">
        <v>10405</v>
      </c>
      <c r="B338" s="2">
        <v>45398</v>
      </c>
      <c r="C338" t="s">
        <v>21</v>
      </c>
      <c r="D338" t="s">
        <v>26</v>
      </c>
      <c r="E338" t="s">
        <v>14</v>
      </c>
      <c r="F338" t="s">
        <v>38</v>
      </c>
      <c r="G338" t="s">
        <v>41</v>
      </c>
      <c r="H338">
        <v>1</v>
      </c>
      <c r="I338" s="3">
        <v>147</v>
      </c>
      <c r="J338" s="3">
        <v>147</v>
      </c>
      <c r="K338" t="s">
        <v>25</v>
      </c>
      <c r="L338" t="s">
        <v>18</v>
      </c>
    </row>
    <row r="339" spans="1:12" x14ac:dyDescent="0.3">
      <c r="A339">
        <v>10707</v>
      </c>
      <c r="B339" s="2">
        <v>45398</v>
      </c>
      <c r="C339" t="s">
        <v>37</v>
      </c>
      <c r="D339" t="s">
        <v>42</v>
      </c>
      <c r="E339" t="s">
        <v>23</v>
      </c>
      <c r="F339" t="s">
        <v>15</v>
      </c>
      <c r="G339" t="s">
        <v>24</v>
      </c>
      <c r="H339">
        <v>1</v>
      </c>
      <c r="I339" s="3">
        <v>56</v>
      </c>
      <c r="J339" s="3">
        <v>56</v>
      </c>
      <c r="K339" t="s">
        <v>25</v>
      </c>
      <c r="L339" t="s">
        <v>27</v>
      </c>
    </row>
    <row r="340" spans="1:12" x14ac:dyDescent="0.3">
      <c r="A340">
        <v>10893</v>
      </c>
      <c r="B340" s="2">
        <v>45398</v>
      </c>
      <c r="C340" t="s">
        <v>12</v>
      </c>
      <c r="D340" t="s">
        <v>13</v>
      </c>
      <c r="E340" t="s">
        <v>23</v>
      </c>
      <c r="F340" t="s">
        <v>38</v>
      </c>
      <c r="G340" t="s">
        <v>43</v>
      </c>
      <c r="H340">
        <v>4</v>
      </c>
      <c r="I340" s="3">
        <v>29</v>
      </c>
      <c r="J340" s="3">
        <v>116</v>
      </c>
      <c r="K340" t="s">
        <v>32</v>
      </c>
      <c r="L340" t="s">
        <v>27</v>
      </c>
    </row>
    <row r="341" spans="1:12" x14ac:dyDescent="0.3">
      <c r="A341">
        <v>10805</v>
      </c>
      <c r="B341" s="2">
        <v>45399</v>
      </c>
      <c r="C341" t="s">
        <v>21</v>
      </c>
      <c r="D341" t="s">
        <v>13</v>
      </c>
      <c r="E341" t="s">
        <v>14</v>
      </c>
      <c r="F341" t="s">
        <v>28</v>
      </c>
      <c r="G341" t="s">
        <v>36</v>
      </c>
      <c r="H341">
        <v>2</v>
      </c>
      <c r="I341" s="3">
        <v>26</v>
      </c>
      <c r="J341" s="3">
        <v>52</v>
      </c>
      <c r="K341" t="s">
        <v>30</v>
      </c>
      <c r="L341" t="s">
        <v>20</v>
      </c>
    </row>
    <row r="342" spans="1:12" x14ac:dyDescent="0.3">
      <c r="A342">
        <v>10887</v>
      </c>
      <c r="B342" s="2">
        <v>45399</v>
      </c>
      <c r="C342" t="s">
        <v>37</v>
      </c>
      <c r="D342" t="s">
        <v>42</v>
      </c>
      <c r="E342" t="s">
        <v>14</v>
      </c>
      <c r="F342" t="s">
        <v>38</v>
      </c>
      <c r="G342" t="s">
        <v>43</v>
      </c>
      <c r="H342">
        <v>1</v>
      </c>
      <c r="I342" s="3">
        <v>106</v>
      </c>
      <c r="J342" s="3">
        <v>106</v>
      </c>
      <c r="K342" t="s">
        <v>35</v>
      </c>
      <c r="L342" t="s">
        <v>33</v>
      </c>
    </row>
    <row r="343" spans="1:12" x14ac:dyDescent="0.3">
      <c r="A343">
        <v>11091</v>
      </c>
      <c r="B343" s="2">
        <v>45399</v>
      </c>
      <c r="C343" t="s">
        <v>12</v>
      </c>
      <c r="D343" t="s">
        <v>22</v>
      </c>
      <c r="E343" t="s">
        <v>14</v>
      </c>
      <c r="F343" t="s">
        <v>15</v>
      </c>
      <c r="G343" t="s">
        <v>19</v>
      </c>
      <c r="H343">
        <v>2</v>
      </c>
      <c r="I343" s="3">
        <v>109</v>
      </c>
      <c r="J343" s="3">
        <v>218</v>
      </c>
      <c r="K343" t="s">
        <v>35</v>
      </c>
      <c r="L343" t="s">
        <v>33</v>
      </c>
    </row>
    <row r="344" spans="1:12" x14ac:dyDescent="0.3">
      <c r="A344">
        <v>11108</v>
      </c>
      <c r="B344" s="2">
        <v>45399</v>
      </c>
      <c r="C344" t="s">
        <v>21</v>
      </c>
      <c r="D344" t="s">
        <v>42</v>
      </c>
      <c r="E344" t="s">
        <v>23</v>
      </c>
      <c r="F344" t="s">
        <v>38</v>
      </c>
      <c r="G344" t="s">
        <v>41</v>
      </c>
      <c r="H344">
        <v>4</v>
      </c>
      <c r="I344" s="3">
        <v>39</v>
      </c>
      <c r="J344" s="3">
        <v>156</v>
      </c>
      <c r="K344" t="s">
        <v>30</v>
      </c>
      <c r="L344" t="s">
        <v>20</v>
      </c>
    </row>
    <row r="345" spans="1:12" x14ac:dyDescent="0.3">
      <c r="A345">
        <v>10956</v>
      </c>
      <c r="B345" s="2">
        <v>45400</v>
      </c>
      <c r="C345" t="s">
        <v>40</v>
      </c>
      <c r="D345" t="s">
        <v>42</v>
      </c>
      <c r="E345" t="s">
        <v>23</v>
      </c>
      <c r="F345" t="s">
        <v>15</v>
      </c>
      <c r="G345" t="s">
        <v>24</v>
      </c>
      <c r="H345">
        <v>1</v>
      </c>
      <c r="I345" s="3">
        <v>44</v>
      </c>
      <c r="J345" s="3">
        <v>44</v>
      </c>
      <c r="K345" t="s">
        <v>30</v>
      </c>
      <c r="L345" t="s">
        <v>27</v>
      </c>
    </row>
    <row r="346" spans="1:12" x14ac:dyDescent="0.3">
      <c r="A346">
        <v>10726</v>
      </c>
      <c r="B346" s="2">
        <v>45401</v>
      </c>
      <c r="C346" t="s">
        <v>21</v>
      </c>
      <c r="D346" t="s">
        <v>26</v>
      </c>
      <c r="E346" t="s">
        <v>14</v>
      </c>
      <c r="F346" t="s">
        <v>28</v>
      </c>
      <c r="G346" t="s">
        <v>36</v>
      </c>
      <c r="H346">
        <v>1</v>
      </c>
      <c r="I346" s="3">
        <v>45</v>
      </c>
      <c r="J346" s="3">
        <v>45</v>
      </c>
      <c r="K346" t="s">
        <v>30</v>
      </c>
      <c r="L346" t="s">
        <v>18</v>
      </c>
    </row>
    <row r="347" spans="1:12" x14ac:dyDescent="0.3">
      <c r="A347">
        <v>10727</v>
      </c>
      <c r="B347" s="2">
        <v>45401</v>
      </c>
      <c r="C347" t="s">
        <v>12</v>
      </c>
      <c r="D347" t="s">
        <v>42</v>
      </c>
      <c r="E347" t="s">
        <v>14</v>
      </c>
      <c r="F347" t="s">
        <v>28</v>
      </c>
      <c r="G347" t="s">
        <v>29</v>
      </c>
      <c r="H347">
        <v>4</v>
      </c>
      <c r="I347" s="3">
        <v>128</v>
      </c>
      <c r="J347" s="3">
        <v>512</v>
      </c>
      <c r="K347" t="s">
        <v>35</v>
      </c>
      <c r="L347" t="s">
        <v>18</v>
      </c>
    </row>
    <row r="348" spans="1:12" x14ac:dyDescent="0.3">
      <c r="A348">
        <v>11119</v>
      </c>
      <c r="B348" s="2">
        <v>45401</v>
      </c>
      <c r="C348" t="s">
        <v>21</v>
      </c>
      <c r="D348" t="s">
        <v>22</v>
      </c>
      <c r="E348" t="s">
        <v>23</v>
      </c>
      <c r="F348" t="s">
        <v>28</v>
      </c>
      <c r="G348" t="s">
        <v>29</v>
      </c>
      <c r="H348">
        <v>1</v>
      </c>
      <c r="I348" s="3">
        <v>104</v>
      </c>
      <c r="J348" s="3">
        <v>104</v>
      </c>
      <c r="K348" t="s">
        <v>32</v>
      </c>
      <c r="L348" t="s">
        <v>18</v>
      </c>
    </row>
    <row r="349" spans="1:12" x14ac:dyDescent="0.3">
      <c r="A349">
        <v>10337</v>
      </c>
      <c r="B349" s="2">
        <v>45402</v>
      </c>
      <c r="C349" t="s">
        <v>37</v>
      </c>
      <c r="D349" t="s">
        <v>13</v>
      </c>
      <c r="E349" t="s">
        <v>14</v>
      </c>
      <c r="F349" t="s">
        <v>15</v>
      </c>
      <c r="G349" t="s">
        <v>19</v>
      </c>
      <c r="H349">
        <v>5</v>
      </c>
      <c r="I349" s="3">
        <v>30</v>
      </c>
      <c r="J349" s="3">
        <v>150</v>
      </c>
      <c r="K349" t="s">
        <v>32</v>
      </c>
      <c r="L349" t="s">
        <v>33</v>
      </c>
    </row>
    <row r="350" spans="1:12" x14ac:dyDescent="0.3">
      <c r="A350">
        <v>11072</v>
      </c>
      <c r="B350" s="2">
        <v>45402</v>
      </c>
      <c r="C350" t="s">
        <v>12</v>
      </c>
      <c r="D350" t="s">
        <v>13</v>
      </c>
      <c r="E350" t="s">
        <v>23</v>
      </c>
      <c r="F350" t="s">
        <v>28</v>
      </c>
      <c r="G350" t="s">
        <v>36</v>
      </c>
      <c r="H350">
        <v>1</v>
      </c>
      <c r="I350" s="3">
        <v>79</v>
      </c>
      <c r="J350" s="3">
        <v>79</v>
      </c>
      <c r="K350" t="s">
        <v>30</v>
      </c>
      <c r="L350" t="s">
        <v>20</v>
      </c>
    </row>
    <row r="351" spans="1:12" x14ac:dyDescent="0.3">
      <c r="A351">
        <v>11111</v>
      </c>
      <c r="B351" s="2">
        <v>45402</v>
      </c>
      <c r="C351" t="s">
        <v>37</v>
      </c>
      <c r="D351" t="s">
        <v>31</v>
      </c>
      <c r="E351" t="s">
        <v>14</v>
      </c>
      <c r="F351" t="s">
        <v>15</v>
      </c>
      <c r="G351" t="s">
        <v>16</v>
      </c>
      <c r="H351">
        <v>5</v>
      </c>
      <c r="I351" s="3">
        <v>59</v>
      </c>
      <c r="J351" s="3">
        <v>295</v>
      </c>
      <c r="K351" t="s">
        <v>25</v>
      </c>
      <c r="L351" t="s">
        <v>33</v>
      </c>
    </row>
    <row r="352" spans="1:12" x14ac:dyDescent="0.3">
      <c r="A352">
        <v>11118</v>
      </c>
      <c r="B352" s="2">
        <v>45402</v>
      </c>
      <c r="C352" t="s">
        <v>37</v>
      </c>
      <c r="D352" t="s">
        <v>26</v>
      </c>
      <c r="E352" t="s">
        <v>14</v>
      </c>
      <c r="F352" t="s">
        <v>28</v>
      </c>
      <c r="G352" t="s">
        <v>29</v>
      </c>
      <c r="H352">
        <v>2</v>
      </c>
      <c r="I352" s="3">
        <v>38</v>
      </c>
      <c r="J352" s="3">
        <v>76</v>
      </c>
      <c r="K352" t="s">
        <v>35</v>
      </c>
      <c r="L352" t="s">
        <v>18</v>
      </c>
    </row>
    <row r="353" spans="1:12" x14ac:dyDescent="0.3">
      <c r="A353">
        <v>11156</v>
      </c>
      <c r="B353" s="2">
        <v>45403</v>
      </c>
      <c r="C353" t="s">
        <v>37</v>
      </c>
      <c r="D353" t="s">
        <v>22</v>
      </c>
      <c r="E353" t="s">
        <v>14</v>
      </c>
      <c r="F353" t="s">
        <v>38</v>
      </c>
      <c r="G353" t="s">
        <v>41</v>
      </c>
      <c r="H353">
        <v>4</v>
      </c>
      <c r="I353" s="3">
        <v>30</v>
      </c>
      <c r="J353" s="3">
        <v>120</v>
      </c>
      <c r="K353" t="s">
        <v>25</v>
      </c>
      <c r="L353" t="s">
        <v>27</v>
      </c>
    </row>
    <row r="354" spans="1:12" x14ac:dyDescent="0.3">
      <c r="A354">
        <v>10002</v>
      </c>
      <c r="B354" s="2">
        <v>45404</v>
      </c>
      <c r="C354" t="s">
        <v>21</v>
      </c>
      <c r="D354" t="s">
        <v>22</v>
      </c>
      <c r="E354" t="s">
        <v>23</v>
      </c>
      <c r="F354" t="s">
        <v>15</v>
      </c>
      <c r="G354" t="s">
        <v>24</v>
      </c>
      <c r="H354">
        <v>5</v>
      </c>
      <c r="I354" s="3">
        <v>127</v>
      </c>
      <c r="J354" s="3">
        <v>635</v>
      </c>
      <c r="K354" t="s">
        <v>25</v>
      </c>
      <c r="L354" t="s">
        <v>20</v>
      </c>
    </row>
    <row r="355" spans="1:12" x14ac:dyDescent="0.3">
      <c r="A355">
        <v>10677</v>
      </c>
      <c r="B355" s="2">
        <v>45404</v>
      </c>
      <c r="C355" t="s">
        <v>37</v>
      </c>
      <c r="D355" t="s">
        <v>22</v>
      </c>
      <c r="E355" t="s">
        <v>14</v>
      </c>
      <c r="F355" t="s">
        <v>38</v>
      </c>
      <c r="G355" t="s">
        <v>39</v>
      </c>
      <c r="H355">
        <v>2</v>
      </c>
      <c r="I355" s="3">
        <v>107</v>
      </c>
      <c r="J355" s="3">
        <v>214</v>
      </c>
      <c r="K355" t="s">
        <v>17</v>
      </c>
      <c r="L355" t="s">
        <v>20</v>
      </c>
    </row>
    <row r="356" spans="1:12" x14ac:dyDescent="0.3">
      <c r="A356">
        <v>10382</v>
      </c>
      <c r="B356" s="2">
        <v>45405</v>
      </c>
      <c r="C356" t="s">
        <v>12</v>
      </c>
      <c r="D356" t="s">
        <v>13</v>
      </c>
      <c r="E356" t="s">
        <v>23</v>
      </c>
      <c r="F356" t="s">
        <v>38</v>
      </c>
      <c r="G356" t="s">
        <v>41</v>
      </c>
      <c r="H356">
        <v>2</v>
      </c>
      <c r="I356" s="3">
        <v>74</v>
      </c>
      <c r="J356" s="3">
        <v>148</v>
      </c>
      <c r="K356" t="s">
        <v>30</v>
      </c>
      <c r="L356" t="s">
        <v>18</v>
      </c>
    </row>
    <row r="357" spans="1:12" x14ac:dyDescent="0.3">
      <c r="A357">
        <v>10553</v>
      </c>
      <c r="B357" s="2">
        <v>45405</v>
      </c>
      <c r="C357" t="s">
        <v>21</v>
      </c>
      <c r="D357" t="s">
        <v>26</v>
      </c>
      <c r="E357" t="s">
        <v>23</v>
      </c>
      <c r="F357" t="s">
        <v>15</v>
      </c>
      <c r="G357" t="s">
        <v>24</v>
      </c>
      <c r="H357">
        <v>5</v>
      </c>
      <c r="I357" s="3">
        <v>43</v>
      </c>
      <c r="J357" s="3">
        <v>215</v>
      </c>
      <c r="K357" t="s">
        <v>32</v>
      </c>
      <c r="L357" t="s">
        <v>20</v>
      </c>
    </row>
    <row r="358" spans="1:12" x14ac:dyDescent="0.3">
      <c r="A358">
        <v>10241</v>
      </c>
      <c r="B358" s="2">
        <v>45407</v>
      </c>
      <c r="C358" t="s">
        <v>37</v>
      </c>
      <c r="D358" t="s">
        <v>13</v>
      </c>
      <c r="E358" t="s">
        <v>23</v>
      </c>
      <c r="F358" t="s">
        <v>28</v>
      </c>
      <c r="G358" t="s">
        <v>36</v>
      </c>
      <c r="H358">
        <v>4</v>
      </c>
      <c r="I358" s="3">
        <v>81</v>
      </c>
      <c r="J358" s="3">
        <v>324</v>
      </c>
      <c r="K358" t="s">
        <v>25</v>
      </c>
      <c r="L358" t="s">
        <v>27</v>
      </c>
    </row>
    <row r="359" spans="1:12" x14ac:dyDescent="0.3">
      <c r="A359">
        <v>10397</v>
      </c>
      <c r="B359" s="2">
        <v>45407</v>
      </c>
      <c r="C359" t="s">
        <v>37</v>
      </c>
      <c r="D359" t="s">
        <v>26</v>
      </c>
      <c r="E359" t="s">
        <v>14</v>
      </c>
      <c r="F359" t="s">
        <v>28</v>
      </c>
      <c r="G359" t="s">
        <v>36</v>
      </c>
      <c r="H359">
        <v>1</v>
      </c>
      <c r="I359" s="3">
        <v>83</v>
      </c>
      <c r="J359" s="3">
        <v>83</v>
      </c>
      <c r="K359" t="s">
        <v>25</v>
      </c>
      <c r="L359" t="s">
        <v>27</v>
      </c>
    </row>
    <row r="360" spans="1:12" x14ac:dyDescent="0.3">
      <c r="A360">
        <v>10575</v>
      </c>
      <c r="B360" s="2">
        <v>45407</v>
      </c>
      <c r="C360" t="s">
        <v>40</v>
      </c>
      <c r="D360" t="s">
        <v>42</v>
      </c>
      <c r="E360" t="s">
        <v>14</v>
      </c>
      <c r="F360" t="s">
        <v>38</v>
      </c>
      <c r="G360" t="s">
        <v>41</v>
      </c>
      <c r="H360">
        <v>2</v>
      </c>
      <c r="I360" s="3">
        <v>69</v>
      </c>
      <c r="J360" s="3">
        <v>138</v>
      </c>
      <c r="K360" t="s">
        <v>35</v>
      </c>
      <c r="L360" t="s">
        <v>27</v>
      </c>
    </row>
    <row r="361" spans="1:12" x14ac:dyDescent="0.3">
      <c r="A361">
        <v>10628</v>
      </c>
      <c r="B361" s="2">
        <v>45407</v>
      </c>
      <c r="C361" t="s">
        <v>12</v>
      </c>
      <c r="D361" t="s">
        <v>42</v>
      </c>
      <c r="E361" t="s">
        <v>14</v>
      </c>
      <c r="F361" t="s">
        <v>15</v>
      </c>
      <c r="G361" t="s">
        <v>19</v>
      </c>
      <c r="H361">
        <v>4</v>
      </c>
      <c r="I361" s="3">
        <v>110</v>
      </c>
      <c r="J361" s="3">
        <v>440</v>
      </c>
      <c r="K361" t="s">
        <v>17</v>
      </c>
      <c r="L361" t="s">
        <v>27</v>
      </c>
    </row>
    <row r="362" spans="1:12" x14ac:dyDescent="0.3">
      <c r="A362">
        <v>10868</v>
      </c>
      <c r="B362" s="2">
        <v>45407</v>
      </c>
      <c r="C362" t="s">
        <v>21</v>
      </c>
      <c r="D362" t="s">
        <v>31</v>
      </c>
      <c r="E362" t="s">
        <v>14</v>
      </c>
      <c r="F362" t="s">
        <v>38</v>
      </c>
      <c r="G362" t="s">
        <v>41</v>
      </c>
      <c r="H362">
        <v>5</v>
      </c>
      <c r="I362" s="3">
        <v>26</v>
      </c>
      <c r="J362" s="3">
        <v>130</v>
      </c>
      <c r="K362" t="s">
        <v>32</v>
      </c>
      <c r="L362" t="s">
        <v>20</v>
      </c>
    </row>
    <row r="363" spans="1:12" x14ac:dyDescent="0.3">
      <c r="A363">
        <v>10508</v>
      </c>
      <c r="B363" s="2">
        <v>45408</v>
      </c>
      <c r="C363" t="s">
        <v>37</v>
      </c>
      <c r="D363" t="s">
        <v>26</v>
      </c>
      <c r="E363" t="s">
        <v>23</v>
      </c>
      <c r="F363" t="s">
        <v>28</v>
      </c>
      <c r="G363" t="s">
        <v>34</v>
      </c>
      <c r="H363">
        <v>2</v>
      </c>
      <c r="I363" s="3">
        <v>107</v>
      </c>
      <c r="J363" s="3">
        <v>214</v>
      </c>
      <c r="K363" t="s">
        <v>35</v>
      </c>
      <c r="L363" t="s">
        <v>27</v>
      </c>
    </row>
    <row r="364" spans="1:12" x14ac:dyDescent="0.3">
      <c r="A364">
        <v>10512</v>
      </c>
      <c r="B364" s="2">
        <v>45409</v>
      </c>
      <c r="C364" t="s">
        <v>12</v>
      </c>
      <c r="D364" t="s">
        <v>26</v>
      </c>
      <c r="E364" t="s">
        <v>23</v>
      </c>
      <c r="F364" t="s">
        <v>28</v>
      </c>
      <c r="G364" t="s">
        <v>36</v>
      </c>
      <c r="H364">
        <v>4</v>
      </c>
      <c r="I364" s="3">
        <v>99</v>
      </c>
      <c r="J364" s="3">
        <v>396</v>
      </c>
      <c r="K364" t="s">
        <v>32</v>
      </c>
      <c r="L364" t="s">
        <v>20</v>
      </c>
    </row>
    <row r="365" spans="1:12" x14ac:dyDescent="0.3">
      <c r="A365">
        <v>10784</v>
      </c>
      <c r="B365" s="2">
        <v>45409</v>
      </c>
      <c r="C365" t="s">
        <v>12</v>
      </c>
      <c r="D365" t="s">
        <v>31</v>
      </c>
      <c r="E365" t="s">
        <v>23</v>
      </c>
      <c r="F365" t="s">
        <v>28</v>
      </c>
      <c r="G365" t="s">
        <v>34</v>
      </c>
      <c r="H365">
        <v>2</v>
      </c>
      <c r="I365" s="3">
        <v>33</v>
      </c>
      <c r="J365" s="3">
        <v>66</v>
      </c>
      <c r="K365" t="s">
        <v>35</v>
      </c>
      <c r="L365" t="s">
        <v>20</v>
      </c>
    </row>
    <row r="366" spans="1:12" x14ac:dyDescent="0.3">
      <c r="A366">
        <v>10613</v>
      </c>
      <c r="B366" s="2">
        <v>45410</v>
      </c>
      <c r="C366" t="s">
        <v>12</v>
      </c>
      <c r="D366" t="s">
        <v>13</v>
      </c>
      <c r="E366" t="s">
        <v>23</v>
      </c>
      <c r="F366" t="s">
        <v>38</v>
      </c>
      <c r="G366" t="s">
        <v>43</v>
      </c>
      <c r="H366">
        <v>4</v>
      </c>
      <c r="I366" s="3">
        <v>140</v>
      </c>
      <c r="J366" s="3">
        <v>560</v>
      </c>
      <c r="K366" t="s">
        <v>35</v>
      </c>
      <c r="L366" t="s">
        <v>27</v>
      </c>
    </row>
    <row r="367" spans="1:12" x14ac:dyDescent="0.3">
      <c r="A367">
        <v>10926</v>
      </c>
      <c r="B367" s="2">
        <v>45410</v>
      </c>
      <c r="C367" t="s">
        <v>12</v>
      </c>
      <c r="D367" t="s">
        <v>31</v>
      </c>
      <c r="E367" t="s">
        <v>23</v>
      </c>
      <c r="F367" t="s">
        <v>15</v>
      </c>
      <c r="G367" t="s">
        <v>19</v>
      </c>
      <c r="H367">
        <v>4</v>
      </c>
      <c r="I367" s="3">
        <v>50</v>
      </c>
      <c r="J367" s="3">
        <v>200</v>
      </c>
      <c r="K367" t="s">
        <v>35</v>
      </c>
      <c r="L367" t="s">
        <v>20</v>
      </c>
    </row>
    <row r="368" spans="1:12" x14ac:dyDescent="0.3">
      <c r="A368">
        <v>11180</v>
      </c>
      <c r="B368" s="2">
        <v>45410</v>
      </c>
      <c r="C368" t="s">
        <v>12</v>
      </c>
      <c r="D368" t="s">
        <v>31</v>
      </c>
      <c r="E368" t="s">
        <v>14</v>
      </c>
      <c r="F368" t="s">
        <v>38</v>
      </c>
      <c r="G368" t="s">
        <v>43</v>
      </c>
      <c r="H368">
        <v>4</v>
      </c>
      <c r="I368" s="3">
        <v>102</v>
      </c>
      <c r="J368" s="3">
        <v>408</v>
      </c>
      <c r="K368" t="s">
        <v>30</v>
      </c>
      <c r="L368" t="s">
        <v>27</v>
      </c>
    </row>
    <row r="369" spans="1:12" x14ac:dyDescent="0.3">
      <c r="A369">
        <v>10522</v>
      </c>
      <c r="B369" s="2">
        <v>45411</v>
      </c>
      <c r="C369" t="s">
        <v>40</v>
      </c>
      <c r="D369" t="s">
        <v>13</v>
      </c>
      <c r="E369" t="s">
        <v>14</v>
      </c>
      <c r="F369" t="s">
        <v>28</v>
      </c>
      <c r="G369" t="s">
        <v>36</v>
      </c>
      <c r="H369">
        <v>4</v>
      </c>
      <c r="I369" s="3">
        <v>22</v>
      </c>
      <c r="J369" s="3">
        <v>88</v>
      </c>
      <c r="K369" t="s">
        <v>30</v>
      </c>
      <c r="L369" t="s">
        <v>20</v>
      </c>
    </row>
    <row r="370" spans="1:12" x14ac:dyDescent="0.3">
      <c r="A370">
        <v>10101</v>
      </c>
      <c r="B370" s="2">
        <v>45412</v>
      </c>
      <c r="C370" t="s">
        <v>37</v>
      </c>
      <c r="D370" t="s">
        <v>13</v>
      </c>
      <c r="E370" t="s">
        <v>14</v>
      </c>
      <c r="F370" t="s">
        <v>15</v>
      </c>
      <c r="G370" t="s">
        <v>16</v>
      </c>
      <c r="H370">
        <v>5</v>
      </c>
      <c r="I370" s="3">
        <v>37</v>
      </c>
      <c r="J370" s="3">
        <v>185</v>
      </c>
      <c r="K370" t="s">
        <v>30</v>
      </c>
      <c r="L370" t="s">
        <v>18</v>
      </c>
    </row>
    <row r="371" spans="1:12" x14ac:dyDescent="0.3">
      <c r="A371">
        <v>10116</v>
      </c>
      <c r="B371" s="2">
        <v>45412</v>
      </c>
      <c r="C371" t="s">
        <v>12</v>
      </c>
      <c r="D371" t="s">
        <v>42</v>
      </c>
      <c r="E371" t="s">
        <v>23</v>
      </c>
      <c r="F371" t="s">
        <v>38</v>
      </c>
      <c r="G371" t="s">
        <v>39</v>
      </c>
      <c r="H371">
        <v>1</v>
      </c>
      <c r="I371" s="3">
        <v>44</v>
      </c>
      <c r="J371" s="3">
        <v>44</v>
      </c>
      <c r="K371" t="s">
        <v>35</v>
      </c>
      <c r="L371" t="s">
        <v>27</v>
      </c>
    </row>
    <row r="372" spans="1:12" x14ac:dyDescent="0.3">
      <c r="A372">
        <v>10672</v>
      </c>
      <c r="B372" s="2">
        <v>45412</v>
      </c>
      <c r="C372" t="s">
        <v>21</v>
      </c>
      <c r="D372" t="s">
        <v>22</v>
      </c>
      <c r="E372" t="s">
        <v>23</v>
      </c>
      <c r="F372" t="s">
        <v>38</v>
      </c>
      <c r="G372" t="s">
        <v>43</v>
      </c>
      <c r="H372">
        <v>1</v>
      </c>
      <c r="I372" s="3">
        <v>38</v>
      </c>
      <c r="J372" s="3">
        <v>38</v>
      </c>
      <c r="K372" t="s">
        <v>30</v>
      </c>
      <c r="L372" t="s">
        <v>20</v>
      </c>
    </row>
    <row r="373" spans="1:12" x14ac:dyDescent="0.3">
      <c r="A373">
        <v>10937</v>
      </c>
      <c r="B373" s="2">
        <v>45412</v>
      </c>
      <c r="C373" t="s">
        <v>40</v>
      </c>
      <c r="D373" t="s">
        <v>42</v>
      </c>
      <c r="E373" t="s">
        <v>23</v>
      </c>
      <c r="F373" t="s">
        <v>28</v>
      </c>
      <c r="G373" t="s">
        <v>34</v>
      </c>
      <c r="H373">
        <v>2</v>
      </c>
      <c r="I373" s="3">
        <v>72</v>
      </c>
      <c r="J373" s="3">
        <v>144</v>
      </c>
      <c r="K373" t="s">
        <v>35</v>
      </c>
      <c r="L373" t="s">
        <v>20</v>
      </c>
    </row>
    <row r="374" spans="1:12" x14ac:dyDescent="0.3">
      <c r="A374">
        <v>10038</v>
      </c>
      <c r="B374" s="2">
        <v>45413</v>
      </c>
      <c r="C374" t="s">
        <v>12</v>
      </c>
      <c r="D374" t="s">
        <v>13</v>
      </c>
      <c r="E374" t="s">
        <v>23</v>
      </c>
      <c r="F374" t="s">
        <v>38</v>
      </c>
      <c r="G374" t="s">
        <v>43</v>
      </c>
      <c r="H374">
        <v>4</v>
      </c>
      <c r="I374" s="3">
        <v>59</v>
      </c>
      <c r="J374" s="3">
        <v>236</v>
      </c>
      <c r="K374" t="s">
        <v>25</v>
      </c>
      <c r="L374" t="s">
        <v>20</v>
      </c>
    </row>
    <row r="375" spans="1:12" x14ac:dyDescent="0.3">
      <c r="A375">
        <v>11025</v>
      </c>
      <c r="B375" s="2">
        <v>45413</v>
      </c>
      <c r="C375" t="s">
        <v>37</v>
      </c>
      <c r="D375" t="s">
        <v>13</v>
      </c>
      <c r="E375" t="s">
        <v>23</v>
      </c>
      <c r="F375" t="s">
        <v>38</v>
      </c>
      <c r="G375" t="s">
        <v>39</v>
      </c>
      <c r="H375">
        <v>3</v>
      </c>
      <c r="I375" s="3">
        <v>115</v>
      </c>
      <c r="J375" s="3">
        <v>345</v>
      </c>
      <c r="K375" t="s">
        <v>25</v>
      </c>
      <c r="L375" t="s">
        <v>18</v>
      </c>
    </row>
    <row r="376" spans="1:12" x14ac:dyDescent="0.3">
      <c r="A376">
        <v>10081</v>
      </c>
      <c r="B376" s="2">
        <v>45414</v>
      </c>
      <c r="C376" t="s">
        <v>12</v>
      </c>
      <c r="D376" t="s">
        <v>22</v>
      </c>
      <c r="E376" t="s">
        <v>14</v>
      </c>
      <c r="F376" t="s">
        <v>38</v>
      </c>
      <c r="G376" t="s">
        <v>43</v>
      </c>
      <c r="H376">
        <v>1</v>
      </c>
      <c r="I376" s="3">
        <v>60</v>
      </c>
      <c r="J376" s="3">
        <v>60</v>
      </c>
      <c r="K376" t="s">
        <v>32</v>
      </c>
      <c r="L376" t="s">
        <v>18</v>
      </c>
    </row>
    <row r="377" spans="1:12" x14ac:dyDescent="0.3">
      <c r="A377">
        <v>10313</v>
      </c>
      <c r="B377" s="2">
        <v>45414</v>
      </c>
      <c r="C377" t="s">
        <v>21</v>
      </c>
      <c r="D377" t="s">
        <v>42</v>
      </c>
      <c r="E377" t="s">
        <v>14</v>
      </c>
      <c r="F377" t="s">
        <v>15</v>
      </c>
      <c r="G377" t="s">
        <v>19</v>
      </c>
      <c r="H377">
        <v>3</v>
      </c>
      <c r="I377" s="3">
        <v>33</v>
      </c>
      <c r="J377" s="3">
        <v>99</v>
      </c>
      <c r="K377" t="s">
        <v>32</v>
      </c>
      <c r="L377" t="s">
        <v>27</v>
      </c>
    </row>
    <row r="378" spans="1:12" x14ac:dyDescent="0.3">
      <c r="A378">
        <v>10870</v>
      </c>
      <c r="B378" s="2">
        <v>45414</v>
      </c>
      <c r="C378" t="s">
        <v>37</v>
      </c>
      <c r="D378" t="s">
        <v>31</v>
      </c>
      <c r="E378" t="s">
        <v>23</v>
      </c>
      <c r="F378" t="s">
        <v>38</v>
      </c>
      <c r="G378" t="s">
        <v>41</v>
      </c>
      <c r="H378">
        <v>1</v>
      </c>
      <c r="I378" s="3">
        <v>141</v>
      </c>
      <c r="J378" s="3">
        <v>141</v>
      </c>
      <c r="K378" t="s">
        <v>17</v>
      </c>
      <c r="L378" t="s">
        <v>20</v>
      </c>
    </row>
    <row r="379" spans="1:12" x14ac:dyDescent="0.3">
      <c r="A379">
        <v>11001</v>
      </c>
      <c r="B379" s="2">
        <v>45414</v>
      </c>
      <c r="C379" t="s">
        <v>40</v>
      </c>
      <c r="D379" t="s">
        <v>13</v>
      </c>
      <c r="E379" t="s">
        <v>14</v>
      </c>
      <c r="F379" t="s">
        <v>38</v>
      </c>
      <c r="G379" t="s">
        <v>41</v>
      </c>
      <c r="H379">
        <v>1</v>
      </c>
      <c r="I379" s="3">
        <v>39</v>
      </c>
      <c r="J379" s="3">
        <v>39</v>
      </c>
      <c r="K379" t="s">
        <v>25</v>
      </c>
      <c r="L379" t="s">
        <v>33</v>
      </c>
    </row>
    <row r="380" spans="1:12" x14ac:dyDescent="0.3">
      <c r="A380">
        <v>10439</v>
      </c>
      <c r="B380" s="2">
        <v>45415</v>
      </c>
      <c r="C380" t="s">
        <v>12</v>
      </c>
      <c r="D380" t="s">
        <v>31</v>
      </c>
      <c r="E380" t="s">
        <v>23</v>
      </c>
      <c r="F380" t="s">
        <v>28</v>
      </c>
      <c r="G380" t="s">
        <v>36</v>
      </c>
      <c r="H380">
        <v>3</v>
      </c>
      <c r="I380" s="3">
        <v>134</v>
      </c>
      <c r="J380" s="3">
        <v>402</v>
      </c>
      <c r="K380" t="s">
        <v>30</v>
      </c>
      <c r="L380" t="s">
        <v>18</v>
      </c>
    </row>
    <row r="381" spans="1:12" x14ac:dyDescent="0.3">
      <c r="A381">
        <v>10494</v>
      </c>
      <c r="B381" s="2">
        <v>45415</v>
      </c>
      <c r="C381" t="s">
        <v>37</v>
      </c>
      <c r="D381" t="s">
        <v>13</v>
      </c>
      <c r="E381" t="s">
        <v>14</v>
      </c>
      <c r="F381" t="s">
        <v>38</v>
      </c>
      <c r="G381" t="s">
        <v>43</v>
      </c>
      <c r="H381">
        <v>2</v>
      </c>
      <c r="I381" s="3">
        <v>80</v>
      </c>
      <c r="J381" s="3">
        <v>160</v>
      </c>
      <c r="K381" t="s">
        <v>32</v>
      </c>
      <c r="L381" t="s">
        <v>20</v>
      </c>
    </row>
    <row r="382" spans="1:12" x14ac:dyDescent="0.3">
      <c r="A382">
        <v>10829</v>
      </c>
      <c r="B382" s="2">
        <v>45415</v>
      </c>
      <c r="C382" t="s">
        <v>37</v>
      </c>
      <c r="D382" t="s">
        <v>42</v>
      </c>
      <c r="E382" t="s">
        <v>14</v>
      </c>
      <c r="F382" t="s">
        <v>28</v>
      </c>
      <c r="G382" t="s">
        <v>36</v>
      </c>
      <c r="H382">
        <v>5</v>
      </c>
      <c r="I382" s="3">
        <v>86</v>
      </c>
      <c r="J382" s="3">
        <v>430</v>
      </c>
      <c r="K382" t="s">
        <v>25</v>
      </c>
      <c r="L382" t="s">
        <v>33</v>
      </c>
    </row>
    <row r="383" spans="1:12" x14ac:dyDescent="0.3">
      <c r="A383">
        <v>10021</v>
      </c>
      <c r="B383" s="2">
        <v>45416</v>
      </c>
      <c r="C383" t="s">
        <v>21</v>
      </c>
      <c r="D383" t="s">
        <v>42</v>
      </c>
      <c r="E383" t="s">
        <v>14</v>
      </c>
      <c r="F383" t="s">
        <v>15</v>
      </c>
      <c r="G383" t="s">
        <v>24</v>
      </c>
      <c r="H383">
        <v>5</v>
      </c>
      <c r="I383" s="3">
        <v>141</v>
      </c>
      <c r="J383" s="3">
        <v>705</v>
      </c>
      <c r="K383" t="s">
        <v>25</v>
      </c>
      <c r="L383" t="s">
        <v>18</v>
      </c>
    </row>
    <row r="384" spans="1:12" x14ac:dyDescent="0.3">
      <c r="A384">
        <v>10245</v>
      </c>
      <c r="B384" s="2">
        <v>45416</v>
      </c>
      <c r="C384" t="s">
        <v>12</v>
      </c>
      <c r="D384" t="s">
        <v>42</v>
      </c>
      <c r="E384" t="s">
        <v>14</v>
      </c>
      <c r="F384" t="s">
        <v>28</v>
      </c>
      <c r="G384" t="s">
        <v>36</v>
      </c>
      <c r="H384">
        <v>1</v>
      </c>
      <c r="I384" s="3">
        <v>142</v>
      </c>
      <c r="J384" s="3">
        <v>142</v>
      </c>
      <c r="K384" t="s">
        <v>17</v>
      </c>
      <c r="L384" t="s">
        <v>33</v>
      </c>
    </row>
    <row r="385" spans="1:12" x14ac:dyDescent="0.3">
      <c r="A385">
        <v>10490</v>
      </c>
      <c r="B385" s="2">
        <v>45416</v>
      </c>
      <c r="C385" t="s">
        <v>37</v>
      </c>
      <c r="D385" t="s">
        <v>42</v>
      </c>
      <c r="E385" t="s">
        <v>23</v>
      </c>
      <c r="F385" t="s">
        <v>15</v>
      </c>
      <c r="G385" t="s">
        <v>19</v>
      </c>
      <c r="H385">
        <v>4</v>
      </c>
      <c r="I385" s="3">
        <v>143</v>
      </c>
      <c r="J385" s="3">
        <v>572</v>
      </c>
      <c r="K385" t="s">
        <v>17</v>
      </c>
      <c r="L385" t="s">
        <v>18</v>
      </c>
    </row>
    <row r="386" spans="1:12" x14ac:dyDescent="0.3">
      <c r="A386">
        <v>10556</v>
      </c>
      <c r="B386" s="2">
        <v>45416</v>
      </c>
      <c r="C386" t="s">
        <v>40</v>
      </c>
      <c r="D386" t="s">
        <v>26</v>
      </c>
      <c r="E386" t="s">
        <v>23</v>
      </c>
      <c r="F386" t="s">
        <v>15</v>
      </c>
      <c r="G386" t="s">
        <v>24</v>
      </c>
      <c r="H386">
        <v>5</v>
      </c>
      <c r="I386" s="3">
        <v>83</v>
      </c>
      <c r="J386" s="3">
        <v>415</v>
      </c>
      <c r="K386" t="s">
        <v>35</v>
      </c>
      <c r="L386" t="s">
        <v>18</v>
      </c>
    </row>
    <row r="387" spans="1:12" x14ac:dyDescent="0.3">
      <c r="A387">
        <v>11057</v>
      </c>
      <c r="B387" s="2">
        <v>45416</v>
      </c>
      <c r="C387" t="s">
        <v>12</v>
      </c>
      <c r="D387" t="s">
        <v>13</v>
      </c>
      <c r="E387" t="s">
        <v>14</v>
      </c>
      <c r="F387" t="s">
        <v>38</v>
      </c>
      <c r="G387" t="s">
        <v>39</v>
      </c>
      <c r="H387">
        <v>2</v>
      </c>
      <c r="I387" s="3">
        <v>127</v>
      </c>
      <c r="J387" s="3">
        <v>254</v>
      </c>
      <c r="K387" t="s">
        <v>32</v>
      </c>
      <c r="L387" t="s">
        <v>18</v>
      </c>
    </row>
    <row r="388" spans="1:12" x14ac:dyDescent="0.3">
      <c r="A388">
        <v>11164</v>
      </c>
      <c r="B388" s="2">
        <v>45416</v>
      </c>
      <c r="C388" t="s">
        <v>37</v>
      </c>
      <c r="D388" t="s">
        <v>13</v>
      </c>
      <c r="E388" t="s">
        <v>23</v>
      </c>
      <c r="F388" t="s">
        <v>38</v>
      </c>
      <c r="G388" t="s">
        <v>41</v>
      </c>
      <c r="H388">
        <v>2</v>
      </c>
      <c r="I388" s="3">
        <v>97</v>
      </c>
      <c r="J388" s="3">
        <v>194</v>
      </c>
      <c r="K388" t="s">
        <v>25</v>
      </c>
      <c r="L388" t="s">
        <v>27</v>
      </c>
    </row>
    <row r="389" spans="1:12" x14ac:dyDescent="0.3">
      <c r="A389">
        <v>10000</v>
      </c>
      <c r="B389" s="2">
        <v>45417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>
        <v>1</v>
      </c>
      <c r="I389" s="3">
        <v>90</v>
      </c>
      <c r="J389" s="3">
        <v>90</v>
      </c>
      <c r="K389" t="s">
        <v>17</v>
      </c>
      <c r="L389" t="s">
        <v>18</v>
      </c>
    </row>
    <row r="390" spans="1:12" x14ac:dyDescent="0.3">
      <c r="A390">
        <v>10068</v>
      </c>
      <c r="B390" s="2">
        <v>45417</v>
      </c>
      <c r="C390" t="s">
        <v>40</v>
      </c>
      <c r="D390" t="s">
        <v>26</v>
      </c>
      <c r="E390" t="s">
        <v>23</v>
      </c>
      <c r="F390" t="s">
        <v>15</v>
      </c>
      <c r="G390" t="s">
        <v>24</v>
      </c>
      <c r="H390">
        <v>3</v>
      </c>
      <c r="I390" s="3">
        <v>102</v>
      </c>
      <c r="J390" s="3">
        <v>306</v>
      </c>
      <c r="K390" t="s">
        <v>32</v>
      </c>
      <c r="L390" t="s">
        <v>27</v>
      </c>
    </row>
    <row r="391" spans="1:12" x14ac:dyDescent="0.3">
      <c r="A391">
        <v>10755</v>
      </c>
      <c r="B391" s="2">
        <v>45417</v>
      </c>
      <c r="C391" t="s">
        <v>37</v>
      </c>
      <c r="D391" t="s">
        <v>42</v>
      </c>
      <c r="E391" t="s">
        <v>23</v>
      </c>
      <c r="F391" t="s">
        <v>28</v>
      </c>
      <c r="G391" t="s">
        <v>34</v>
      </c>
      <c r="H391">
        <v>2</v>
      </c>
      <c r="I391" s="3">
        <v>27</v>
      </c>
      <c r="J391" s="3">
        <v>54</v>
      </c>
      <c r="K391" t="s">
        <v>17</v>
      </c>
      <c r="L391" t="s">
        <v>27</v>
      </c>
    </row>
    <row r="392" spans="1:12" x14ac:dyDescent="0.3">
      <c r="A392">
        <v>10853</v>
      </c>
      <c r="B392" s="2">
        <v>45417</v>
      </c>
      <c r="C392" t="s">
        <v>21</v>
      </c>
      <c r="D392" t="s">
        <v>22</v>
      </c>
      <c r="E392" t="s">
        <v>23</v>
      </c>
      <c r="F392" t="s">
        <v>28</v>
      </c>
      <c r="G392" t="s">
        <v>29</v>
      </c>
      <c r="H392">
        <v>5</v>
      </c>
      <c r="I392" s="3">
        <v>63</v>
      </c>
      <c r="J392" s="3">
        <v>315</v>
      </c>
      <c r="K392" t="s">
        <v>25</v>
      </c>
      <c r="L392" t="s">
        <v>18</v>
      </c>
    </row>
    <row r="393" spans="1:12" x14ac:dyDescent="0.3">
      <c r="A393">
        <v>11041</v>
      </c>
      <c r="B393" s="2">
        <v>45417</v>
      </c>
      <c r="C393" t="s">
        <v>21</v>
      </c>
      <c r="D393" t="s">
        <v>42</v>
      </c>
      <c r="E393" t="s">
        <v>14</v>
      </c>
      <c r="F393" t="s">
        <v>28</v>
      </c>
      <c r="G393" t="s">
        <v>34</v>
      </c>
      <c r="H393">
        <v>1</v>
      </c>
      <c r="I393" s="3">
        <v>129</v>
      </c>
      <c r="J393" s="3">
        <v>129</v>
      </c>
      <c r="K393" t="s">
        <v>17</v>
      </c>
      <c r="L393" t="s">
        <v>20</v>
      </c>
    </row>
    <row r="394" spans="1:12" x14ac:dyDescent="0.3">
      <c r="A394">
        <v>10347</v>
      </c>
      <c r="B394" s="2">
        <v>45418</v>
      </c>
      <c r="C394" t="s">
        <v>12</v>
      </c>
      <c r="D394" t="s">
        <v>26</v>
      </c>
      <c r="E394" t="s">
        <v>14</v>
      </c>
      <c r="F394" t="s">
        <v>15</v>
      </c>
      <c r="G394" t="s">
        <v>16</v>
      </c>
      <c r="H394">
        <v>2</v>
      </c>
      <c r="I394" s="3">
        <v>45</v>
      </c>
      <c r="J394" s="3">
        <v>90</v>
      </c>
      <c r="K394" t="s">
        <v>32</v>
      </c>
      <c r="L394" t="s">
        <v>27</v>
      </c>
    </row>
    <row r="395" spans="1:12" x14ac:dyDescent="0.3">
      <c r="A395">
        <v>10679</v>
      </c>
      <c r="B395" s="2">
        <v>45418</v>
      </c>
      <c r="C395" t="s">
        <v>37</v>
      </c>
      <c r="D395" t="s">
        <v>42</v>
      </c>
      <c r="E395" t="s">
        <v>14</v>
      </c>
      <c r="F395" t="s">
        <v>28</v>
      </c>
      <c r="G395" t="s">
        <v>36</v>
      </c>
      <c r="H395">
        <v>4</v>
      </c>
      <c r="I395" s="3">
        <v>83</v>
      </c>
      <c r="J395" s="3">
        <v>332</v>
      </c>
      <c r="K395" t="s">
        <v>17</v>
      </c>
      <c r="L395" t="s">
        <v>20</v>
      </c>
    </row>
    <row r="396" spans="1:12" x14ac:dyDescent="0.3">
      <c r="A396">
        <v>10890</v>
      </c>
      <c r="B396" s="2">
        <v>45418</v>
      </c>
      <c r="C396" t="s">
        <v>40</v>
      </c>
      <c r="D396" t="s">
        <v>26</v>
      </c>
      <c r="E396" t="s">
        <v>14</v>
      </c>
      <c r="F396" t="s">
        <v>15</v>
      </c>
      <c r="G396" t="s">
        <v>19</v>
      </c>
      <c r="H396">
        <v>2</v>
      </c>
      <c r="I396" s="3">
        <v>103</v>
      </c>
      <c r="J396" s="3">
        <v>206</v>
      </c>
      <c r="K396" t="s">
        <v>17</v>
      </c>
      <c r="L396" t="s">
        <v>27</v>
      </c>
    </row>
    <row r="397" spans="1:12" x14ac:dyDescent="0.3">
      <c r="A397">
        <v>11022</v>
      </c>
      <c r="B397" s="2">
        <v>45418</v>
      </c>
      <c r="C397" t="s">
        <v>37</v>
      </c>
      <c r="D397" t="s">
        <v>31</v>
      </c>
      <c r="E397" t="s">
        <v>14</v>
      </c>
      <c r="F397" t="s">
        <v>38</v>
      </c>
      <c r="G397" t="s">
        <v>39</v>
      </c>
      <c r="H397">
        <v>3</v>
      </c>
      <c r="I397" s="3">
        <v>127</v>
      </c>
      <c r="J397" s="3">
        <v>381</v>
      </c>
      <c r="K397" t="s">
        <v>25</v>
      </c>
      <c r="L397" t="s">
        <v>18</v>
      </c>
    </row>
    <row r="398" spans="1:12" x14ac:dyDescent="0.3">
      <c r="A398">
        <v>11169</v>
      </c>
      <c r="B398" s="2">
        <v>45418</v>
      </c>
      <c r="C398" t="s">
        <v>12</v>
      </c>
      <c r="D398" t="s">
        <v>31</v>
      </c>
      <c r="E398" t="s">
        <v>23</v>
      </c>
      <c r="F398" t="s">
        <v>15</v>
      </c>
      <c r="G398" t="s">
        <v>16</v>
      </c>
      <c r="H398">
        <v>5</v>
      </c>
      <c r="I398" s="3">
        <v>44</v>
      </c>
      <c r="J398" s="3">
        <v>220</v>
      </c>
      <c r="K398" t="s">
        <v>25</v>
      </c>
      <c r="L398" t="s">
        <v>27</v>
      </c>
    </row>
    <row r="399" spans="1:12" x14ac:dyDescent="0.3">
      <c r="A399">
        <v>10198</v>
      </c>
      <c r="B399" s="2">
        <v>45419</v>
      </c>
      <c r="C399" t="s">
        <v>12</v>
      </c>
      <c r="D399" t="s">
        <v>26</v>
      </c>
      <c r="E399" t="s">
        <v>23</v>
      </c>
      <c r="F399" t="s">
        <v>38</v>
      </c>
      <c r="G399" t="s">
        <v>39</v>
      </c>
      <c r="H399">
        <v>5</v>
      </c>
      <c r="I399" s="3">
        <v>127</v>
      </c>
      <c r="J399" s="3">
        <v>635</v>
      </c>
      <c r="K399" t="s">
        <v>32</v>
      </c>
      <c r="L399" t="s">
        <v>20</v>
      </c>
    </row>
    <row r="400" spans="1:12" x14ac:dyDescent="0.3">
      <c r="A400">
        <v>10492</v>
      </c>
      <c r="B400" s="2">
        <v>45419</v>
      </c>
      <c r="C400" t="s">
        <v>37</v>
      </c>
      <c r="D400" t="s">
        <v>31</v>
      </c>
      <c r="E400" t="s">
        <v>23</v>
      </c>
      <c r="F400" t="s">
        <v>15</v>
      </c>
      <c r="G400" t="s">
        <v>24</v>
      </c>
      <c r="H400">
        <v>1</v>
      </c>
      <c r="I400" s="3">
        <v>87</v>
      </c>
      <c r="J400" s="3">
        <v>87</v>
      </c>
      <c r="K400" t="s">
        <v>35</v>
      </c>
      <c r="L400" t="s">
        <v>18</v>
      </c>
    </row>
    <row r="401" spans="1:12" x14ac:dyDescent="0.3">
      <c r="A401">
        <v>10929</v>
      </c>
      <c r="B401" s="2">
        <v>45420</v>
      </c>
      <c r="C401" t="s">
        <v>40</v>
      </c>
      <c r="D401" t="s">
        <v>22</v>
      </c>
      <c r="E401" t="s">
        <v>23</v>
      </c>
      <c r="F401" t="s">
        <v>28</v>
      </c>
      <c r="G401" t="s">
        <v>36</v>
      </c>
      <c r="H401">
        <v>5</v>
      </c>
      <c r="I401" s="3">
        <v>63</v>
      </c>
      <c r="J401" s="3">
        <v>315</v>
      </c>
      <c r="K401" t="s">
        <v>30</v>
      </c>
      <c r="L401" t="s">
        <v>20</v>
      </c>
    </row>
    <row r="402" spans="1:12" x14ac:dyDescent="0.3">
      <c r="A402">
        <v>10174</v>
      </c>
      <c r="B402" s="2">
        <v>45421</v>
      </c>
      <c r="C402" t="s">
        <v>40</v>
      </c>
      <c r="D402" t="s">
        <v>13</v>
      </c>
      <c r="E402" t="s">
        <v>23</v>
      </c>
      <c r="F402" t="s">
        <v>38</v>
      </c>
      <c r="G402" t="s">
        <v>43</v>
      </c>
      <c r="H402">
        <v>4</v>
      </c>
      <c r="I402" s="3">
        <v>141</v>
      </c>
      <c r="J402" s="3">
        <v>564</v>
      </c>
      <c r="K402" t="s">
        <v>35</v>
      </c>
      <c r="L402" t="s">
        <v>18</v>
      </c>
    </row>
    <row r="403" spans="1:12" x14ac:dyDescent="0.3">
      <c r="A403">
        <v>10323</v>
      </c>
      <c r="B403" s="2">
        <v>45422</v>
      </c>
      <c r="C403" t="s">
        <v>40</v>
      </c>
      <c r="D403" t="s">
        <v>22</v>
      </c>
      <c r="E403" t="s">
        <v>14</v>
      </c>
      <c r="F403" t="s">
        <v>15</v>
      </c>
      <c r="G403" t="s">
        <v>16</v>
      </c>
      <c r="H403">
        <v>3</v>
      </c>
      <c r="I403" s="3">
        <v>60</v>
      </c>
      <c r="J403" s="3">
        <v>180</v>
      </c>
      <c r="K403" t="s">
        <v>32</v>
      </c>
      <c r="L403" t="s">
        <v>18</v>
      </c>
    </row>
    <row r="404" spans="1:12" x14ac:dyDescent="0.3">
      <c r="A404">
        <v>10504</v>
      </c>
      <c r="B404" s="2">
        <v>45422</v>
      </c>
      <c r="C404" t="s">
        <v>21</v>
      </c>
      <c r="D404" t="s">
        <v>31</v>
      </c>
      <c r="E404" t="s">
        <v>23</v>
      </c>
      <c r="F404" t="s">
        <v>15</v>
      </c>
      <c r="G404" t="s">
        <v>16</v>
      </c>
      <c r="H404">
        <v>1</v>
      </c>
      <c r="I404" s="3">
        <v>75</v>
      </c>
      <c r="J404" s="3">
        <v>75</v>
      </c>
      <c r="K404" t="s">
        <v>35</v>
      </c>
      <c r="L404" t="s">
        <v>33</v>
      </c>
    </row>
    <row r="405" spans="1:12" x14ac:dyDescent="0.3">
      <c r="A405">
        <v>10562</v>
      </c>
      <c r="B405" s="2">
        <v>45422</v>
      </c>
      <c r="C405" t="s">
        <v>12</v>
      </c>
      <c r="D405" t="s">
        <v>31</v>
      </c>
      <c r="E405" t="s">
        <v>23</v>
      </c>
      <c r="F405" t="s">
        <v>15</v>
      </c>
      <c r="G405" t="s">
        <v>24</v>
      </c>
      <c r="H405">
        <v>5</v>
      </c>
      <c r="I405" s="3">
        <v>31</v>
      </c>
      <c r="J405" s="3">
        <v>155</v>
      </c>
      <c r="K405" t="s">
        <v>32</v>
      </c>
      <c r="L405" t="s">
        <v>33</v>
      </c>
    </row>
    <row r="406" spans="1:12" x14ac:dyDescent="0.3">
      <c r="A406">
        <v>10357</v>
      </c>
      <c r="B406" s="2">
        <v>45423</v>
      </c>
      <c r="C406" t="s">
        <v>40</v>
      </c>
      <c r="D406" t="s">
        <v>31</v>
      </c>
      <c r="E406" t="s">
        <v>14</v>
      </c>
      <c r="F406" t="s">
        <v>28</v>
      </c>
      <c r="G406" t="s">
        <v>34</v>
      </c>
      <c r="H406">
        <v>1</v>
      </c>
      <c r="I406" s="3">
        <v>109</v>
      </c>
      <c r="J406" s="3">
        <v>109</v>
      </c>
      <c r="K406" t="s">
        <v>30</v>
      </c>
      <c r="L406" t="s">
        <v>27</v>
      </c>
    </row>
    <row r="407" spans="1:12" x14ac:dyDescent="0.3">
      <c r="A407">
        <v>10476</v>
      </c>
      <c r="B407" s="2">
        <v>45423</v>
      </c>
      <c r="C407" t="s">
        <v>12</v>
      </c>
      <c r="D407" t="s">
        <v>31</v>
      </c>
      <c r="E407" t="s">
        <v>14</v>
      </c>
      <c r="F407" t="s">
        <v>38</v>
      </c>
      <c r="G407" t="s">
        <v>43</v>
      </c>
      <c r="H407">
        <v>5</v>
      </c>
      <c r="I407" s="3">
        <v>124</v>
      </c>
      <c r="J407" s="3">
        <v>620</v>
      </c>
      <c r="K407" t="s">
        <v>17</v>
      </c>
      <c r="L407" t="s">
        <v>18</v>
      </c>
    </row>
    <row r="408" spans="1:12" x14ac:dyDescent="0.3">
      <c r="A408">
        <v>10388</v>
      </c>
      <c r="B408" s="2">
        <v>45424</v>
      </c>
      <c r="C408" t="s">
        <v>21</v>
      </c>
      <c r="D408" t="s">
        <v>42</v>
      </c>
      <c r="E408" t="s">
        <v>23</v>
      </c>
      <c r="F408" t="s">
        <v>15</v>
      </c>
      <c r="G408" t="s">
        <v>16</v>
      </c>
      <c r="H408">
        <v>4</v>
      </c>
      <c r="I408" s="3">
        <v>95</v>
      </c>
      <c r="J408" s="3">
        <v>380</v>
      </c>
      <c r="K408" t="s">
        <v>25</v>
      </c>
      <c r="L408" t="s">
        <v>20</v>
      </c>
    </row>
    <row r="409" spans="1:12" x14ac:dyDescent="0.3">
      <c r="A409">
        <v>10390</v>
      </c>
      <c r="B409" s="2">
        <v>45424</v>
      </c>
      <c r="C409" t="s">
        <v>12</v>
      </c>
      <c r="D409" t="s">
        <v>26</v>
      </c>
      <c r="E409" t="s">
        <v>14</v>
      </c>
      <c r="F409" t="s">
        <v>38</v>
      </c>
      <c r="G409" t="s">
        <v>41</v>
      </c>
      <c r="H409">
        <v>4</v>
      </c>
      <c r="I409" s="3">
        <v>52</v>
      </c>
      <c r="J409" s="3">
        <v>208</v>
      </c>
      <c r="K409" t="s">
        <v>32</v>
      </c>
      <c r="L409" t="s">
        <v>33</v>
      </c>
    </row>
    <row r="410" spans="1:12" x14ac:dyDescent="0.3">
      <c r="A410">
        <v>10713</v>
      </c>
      <c r="B410" s="2">
        <v>45424</v>
      </c>
      <c r="C410" t="s">
        <v>12</v>
      </c>
      <c r="D410" t="s">
        <v>22</v>
      </c>
      <c r="E410" t="s">
        <v>14</v>
      </c>
      <c r="F410" t="s">
        <v>15</v>
      </c>
      <c r="G410" t="s">
        <v>16</v>
      </c>
      <c r="H410">
        <v>3</v>
      </c>
      <c r="I410" s="3">
        <v>24</v>
      </c>
      <c r="J410" s="3">
        <v>72</v>
      </c>
      <c r="K410" t="s">
        <v>32</v>
      </c>
      <c r="L410" t="s">
        <v>33</v>
      </c>
    </row>
    <row r="411" spans="1:12" x14ac:dyDescent="0.3">
      <c r="A411">
        <v>10224</v>
      </c>
      <c r="B411" s="2">
        <v>45425</v>
      </c>
      <c r="C411" t="s">
        <v>37</v>
      </c>
      <c r="D411" t="s">
        <v>13</v>
      </c>
      <c r="E411" t="s">
        <v>14</v>
      </c>
      <c r="F411" t="s">
        <v>38</v>
      </c>
      <c r="G411" t="s">
        <v>39</v>
      </c>
      <c r="H411">
        <v>5</v>
      </c>
      <c r="I411" s="3">
        <v>22</v>
      </c>
      <c r="J411" s="3">
        <v>110</v>
      </c>
      <c r="K411" t="s">
        <v>25</v>
      </c>
      <c r="L411" t="s">
        <v>27</v>
      </c>
    </row>
    <row r="412" spans="1:12" x14ac:dyDescent="0.3">
      <c r="A412">
        <v>10338</v>
      </c>
      <c r="B412" s="2">
        <v>45425</v>
      </c>
      <c r="C412" t="s">
        <v>12</v>
      </c>
      <c r="D412" t="s">
        <v>31</v>
      </c>
      <c r="E412" t="s">
        <v>23</v>
      </c>
      <c r="F412" t="s">
        <v>38</v>
      </c>
      <c r="G412" t="s">
        <v>43</v>
      </c>
      <c r="H412">
        <v>1</v>
      </c>
      <c r="I412" s="3">
        <v>96</v>
      </c>
      <c r="J412" s="3">
        <v>96</v>
      </c>
      <c r="K412" t="s">
        <v>30</v>
      </c>
      <c r="L412" t="s">
        <v>20</v>
      </c>
    </row>
    <row r="413" spans="1:12" x14ac:dyDescent="0.3">
      <c r="A413">
        <v>10413</v>
      </c>
      <c r="B413" s="2">
        <v>45425</v>
      </c>
      <c r="C413" t="s">
        <v>37</v>
      </c>
      <c r="D413" t="s">
        <v>31</v>
      </c>
      <c r="E413" t="s">
        <v>14</v>
      </c>
      <c r="F413" t="s">
        <v>38</v>
      </c>
      <c r="G413" t="s">
        <v>39</v>
      </c>
      <c r="H413">
        <v>1</v>
      </c>
      <c r="I413" s="3">
        <v>36</v>
      </c>
      <c r="J413" s="3">
        <v>36</v>
      </c>
      <c r="K413" t="s">
        <v>35</v>
      </c>
      <c r="L413" t="s">
        <v>18</v>
      </c>
    </row>
    <row r="414" spans="1:12" x14ac:dyDescent="0.3">
      <c r="A414">
        <v>10478</v>
      </c>
      <c r="B414" s="2">
        <v>45425</v>
      </c>
      <c r="C414" t="s">
        <v>21</v>
      </c>
      <c r="D414" t="s">
        <v>22</v>
      </c>
      <c r="E414" t="s">
        <v>23</v>
      </c>
      <c r="F414" t="s">
        <v>38</v>
      </c>
      <c r="G414" t="s">
        <v>43</v>
      </c>
      <c r="H414">
        <v>5</v>
      </c>
      <c r="I414" s="3">
        <v>84</v>
      </c>
      <c r="J414" s="3">
        <v>420</v>
      </c>
      <c r="K414" t="s">
        <v>17</v>
      </c>
      <c r="L414" t="s">
        <v>33</v>
      </c>
    </row>
    <row r="415" spans="1:12" x14ac:dyDescent="0.3">
      <c r="A415">
        <v>10770</v>
      </c>
      <c r="B415" s="2">
        <v>45425</v>
      </c>
      <c r="C415" t="s">
        <v>12</v>
      </c>
      <c r="D415" t="s">
        <v>22</v>
      </c>
      <c r="E415" t="s">
        <v>23</v>
      </c>
      <c r="F415" t="s">
        <v>38</v>
      </c>
      <c r="G415" t="s">
        <v>39</v>
      </c>
      <c r="H415">
        <v>4</v>
      </c>
      <c r="I415" s="3">
        <v>54</v>
      </c>
      <c r="J415" s="3">
        <v>216</v>
      </c>
      <c r="K415" t="s">
        <v>35</v>
      </c>
      <c r="L415" t="s">
        <v>20</v>
      </c>
    </row>
    <row r="416" spans="1:12" x14ac:dyDescent="0.3">
      <c r="A416">
        <v>10815</v>
      </c>
      <c r="B416" s="2">
        <v>45425</v>
      </c>
      <c r="C416" t="s">
        <v>37</v>
      </c>
      <c r="D416" t="s">
        <v>13</v>
      </c>
      <c r="E416" t="s">
        <v>14</v>
      </c>
      <c r="F416" t="s">
        <v>15</v>
      </c>
      <c r="G416" t="s">
        <v>16</v>
      </c>
      <c r="H416">
        <v>1</v>
      </c>
      <c r="I416" s="3">
        <v>111</v>
      </c>
      <c r="J416" s="3">
        <v>111</v>
      </c>
      <c r="K416" t="s">
        <v>17</v>
      </c>
      <c r="L416" t="s">
        <v>18</v>
      </c>
    </row>
    <row r="417" spans="1:12" x14ac:dyDescent="0.3">
      <c r="A417">
        <v>11105</v>
      </c>
      <c r="B417" s="2">
        <v>45425</v>
      </c>
      <c r="C417" t="s">
        <v>40</v>
      </c>
      <c r="D417" t="s">
        <v>26</v>
      </c>
      <c r="E417" t="s">
        <v>14</v>
      </c>
      <c r="F417" t="s">
        <v>28</v>
      </c>
      <c r="G417" t="s">
        <v>36</v>
      </c>
      <c r="H417">
        <v>2</v>
      </c>
      <c r="I417" s="3">
        <v>116</v>
      </c>
      <c r="J417" s="3">
        <v>232</v>
      </c>
      <c r="K417" t="s">
        <v>32</v>
      </c>
      <c r="L417" t="s">
        <v>18</v>
      </c>
    </row>
    <row r="418" spans="1:12" x14ac:dyDescent="0.3">
      <c r="A418">
        <v>10017</v>
      </c>
      <c r="B418" s="2">
        <v>45427</v>
      </c>
      <c r="C418" t="s">
        <v>21</v>
      </c>
      <c r="D418" t="s">
        <v>13</v>
      </c>
      <c r="E418" t="s">
        <v>14</v>
      </c>
      <c r="F418" t="s">
        <v>28</v>
      </c>
      <c r="G418" t="s">
        <v>36</v>
      </c>
      <c r="H418">
        <v>4</v>
      </c>
      <c r="I418" s="3">
        <v>62</v>
      </c>
      <c r="J418" s="3">
        <v>248</v>
      </c>
      <c r="K418" t="s">
        <v>35</v>
      </c>
      <c r="L418" t="s">
        <v>27</v>
      </c>
    </row>
    <row r="419" spans="1:12" x14ac:dyDescent="0.3">
      <c r="A419">
        <v>10031</v>
      </c>
      <c r="B419" s="2">
        <v>45427</v>
      </c>
      <c r="C419" t="s">
        <v>12</v>
      </c>
      <c r="D419" t="s">
        <v>26</v>
      </c>
      <c r="E419" t="s">
        <v>14</v>
      </c>
      <c r="F419" t="s">
        <v>28</v>
      </c>
      <c r="G419" t="s">
        <v>36</v>
      </c>
      <c r="H419">
        <v>2</v>
      </c>
      <c r="I419" s="3">
        <v>149</v>
      </c>
      <c r="J419" s="3">
        <v>298</v>
      </c>
      <c r="K419" t="s">
        <v>32</v>
      </c>
      <c r="L419" t="s">
        <v>33</v>
      </c>
    </row>
    <row r="420" spans="1:12" x14ac:dyDescent="0.3">
      <c r="A420">
        <v>10407</v>
      </c>
      <c r="B420" s="2">
        <v>45427</v>
      </c>
      <c r="C420" t="s">
        <v>21</v>
      </c>
      <c r="D420" t="s">
        <v>31</v>
      </c>
      <c r="E420" t="s">
        <v>14</v>
      </c>
      <c r="F420" t="s">
        <v>15</v>
      </c>
      <c r="G420" t="s">
        <v>16</v>
      </c>
      <c r="H420">
        <v>4</v>
      </c>
      <c r="I420" s="3">
        <v>95</v>
      </c>
      <c r="J420" s="3">
        <v>380</v>
      </c>
      <c r="K420" t="s">
        <v>32</v>
      </c>
      <c r="L420" t="s">
        <v>18</v>
      </c>
    </row>
    <row r="421" spans="1:12" x14ac:dyDescent="0.3">
      <c r="A421">
        <v>10834</v>
      </c>
      <c r="B421" s="2">
        <v>45427</v>
      </c>
      <c r="C421" t="s">
        <v>21</v>
      </c>
      <c r="D421" t="s">
        <v>42</v>
      </c>
      <c r="E421" t="s">
        <v>23</v>
      </c>
      <c r="F421" t="s">
        <v>15</v>
      </c>
      <c r="G421" t="s">
        <v>24</v>
      </c>
      <c r="H421">
        <v>4</v>
      </c>
      <c r="I421" s="3">
        <v>121</v>
      </c>
      <c r="J421" s="3">
        <v>484</v>
      </c>
      <c r="K421" t="s">
        <v>30</v>
      </c>
      <c r="L421" t="s">
        <v>27</v>
      </c>
    </row>
    <row r="422" spans="1:12" x14ac:dyDescent="0.3">
      <c r="A422">
        <v>10897</v>
      </c>
      <c r="B422" s="2">
        <v>45427</v>
      </c>
      <c r="C422" t="s">
        <v>40</v>
      </c>
      <c r="D422" t="s">
        <v>26</v>
      </c>
      <c r="E422" t="s">
        <v>14</v>
      </c>
      <c r="F422" t="s">
        <v>28</v>
      </c>
      <c r="G422" t="s">
        <v>34</v>
      </c>
      <c r="H422">
        <v>4</v>
      </c>
      <c r="I422" s="3">
        <v>79</v>
      </c>
      <c r="J422" s="3">
        <v>316</v>
      </c>
      <c r="K422" t="s">
        <v>35</v>
      </c>
      <c r="L422" t="s">
        <v>18</v>
      </c>
    </row>
    <row r="423" spans="1:12" x14ac:dyDescent="0.3">
      <c r="A423">
        <v>11006</v>
      </c>
      <c r="B423" s="2">
        <v>45427</v>
      </c>
      <c r="C423" t="s">
        <v>12</v>
      </c>
      <c r="D423" t="s">
        <v>31</v>
      </c>
      <c r="E423" t="s">
        <v>23</v>
      </c>
      <c r="F423" t="s">
        <v>38</v>
      </c>
      <c r="G423" t="s">
        <v>39</v>
      </c>
      <c r="H423">
        <v>4</v>
      </c>
      <c r="I423" s="3">
        <v>95</v>
      </c>
      <c r="J423" s="3">
        <v>380</v>
      </c>
      <c r="K423" t="s">
        <v>32</v>
      </c>
      <c r="L423" t="s">
        <v>33</v>
      </c>
    </row>
    <row r="424" spans="1:12" x14ac:dyDescent="0.3">
      <c r="A424">
        <v>10039</v>
      </c>
      <c r="B424" s="2">
        <v>45428</v>
      </c>
      <c r="C424" t="s">
        <v>12</v>
      </c>
      <c r="D424" t="s">
        <v>31</v>
      </c>
      <c r="E424" t="s">
        <v>23</v>
      </c>
      <c r="F424" t="s">
        <v>15</v>
      </c>
      <c r="G424" t="s">
        <v>19</v>
      </c>
      <c r="H424">
        <v>4</v>
      </c>
      <c r="I424" s="3">
        <v>83</v>
      </c>
      <c r="J424" s="3">
        <v>332</v>
      </c>
      <c r="K424" t="s">
        <v>25</v>
      </c>
      <c r="L424" t="s">
        <v>27</v>
      </c>
    </row>
    <row r="425" spans="1:12" x14ac:dyDescent="0.3">
      <c r="A425">
        <v>10197</v>
      </c>
      <c r="B425" s="2">
        <v>45428</v>
      </c>
      <c r="C425" t="s">
        <v>21</v>
      </c>
      <c r="D425" t="s">
        <v>13</v>
      </c>
      <c r="E425" t="s">
        <v>14</v>
      </c>
      <c r="F425" t="s">
        <v>38</v>
      </c>
      <c r="G425" t="s">
        <v>41</v>
      </c>
      <c r="H425">
        <v>4</v>
      </c>
      <c r="I425" s="3">
        <v>51</v>
      </c>
      <c r="J425" s="3">
        <v>204</v>
      </c>
      <c r="K425" t="s">
        <v>25</v>
      </c>
      <c r="L425" t="s">
        <v>18</v>
      </c>
    </row>
    <row r="426" spans="1:12" x14ac:dyDescent="0.3">
      <c r="A426">
        <v>10688</v>
      </c>
      <c r="B426" s="2">
        <v>45428</v>
      </c>
      <c r="C426" t="s">
        <v>21</v>
      </c>
      <c r="D426" t="s">
        <v>26</v>
      </c>
      <c r="E426" t="s">
        <v>14</v>
      </c>
      <c r="F426" t="s">
        <v>15</v>
      </c>
      <c r="G426" t="s">
        <v>16</v>
      </c>
      <c r="H426">
        <v>3</v>
      </c>
      <c r="I426" s="3">
        <v>110</v>
      </c>
      <c r="J426" s="3">
        <v>330</v>
      </c>
      <c r="K426" t="s">
        <v>25</v>
      </c>
      <c r="L426" t="s">
        <v>33</v>
      </c>
    </row>
    <row r="427" spans="1:12" x14ac:dyDescent="0.3">
      <c r="A427">
        <v>10263</v>
      </c>
      <c r="B427" s="2">
        <v>45429</v>
      </c>
      <c r="C427" t="s">
        <v>12</v>
      </c>
      <c r="D427" t="s">
        <v>42</v>
      </c>
      <c r="E427" t="s">
        <v>14</v>
      </c>
      <c r="F427" t="s">
        <v>28</v>
      </c>
      <c r="G427" t="s">
        <v>36</v>
      </c>
      <c r="H427">
        <v>1</v>
      </c>
      <c r="I427" s="3">
        <v>41</v>
      </c>
      <c r="J427" s="3">
        <v>41</v>
      </c>
      <c r="K427" t="s">
        <v>30</v>
      </c>
      <c r="L427" t="s">
        <v>33</v>
      </c>
    </row>
    <row r="428" spans="1:12" x14ac:dyDescent="0.3">
      <c r="A428">
        <v>10752</v>
      </c>
      <c r="B428" s="2">
        <v>45429</v>
      </c>
      <c r="C428" t="s">
        <v>21</v>
      </c>
      <c r="D428" t="s">
        <v>22</v>
      </c>
      <c r="E428" t="s">
        <v>14</v>
      </c>
      <c r="F428" t="s">
        <v>15</v>
      </c>
      <c r="G428" t="s">
        <v>19</v>
      </c>
      <c r="H428">
        <v>2</v>
      </c>
      <c r="I428" s="3">
        <v>139</v>
      </c>
      <c r="J428" s="3">
        <v>278</v>
      </c>
      <c r="K428" t="s">
        <v>17</v>
      </c>
      <c r="L428" t="s">
        <v>20</v>
      </c>
    </row>
    <row r="429" spans="1:12" x14ac:dyDescent="0.3">
      <c r="A429">
        <v>10810</v>
      </c>
      <c r="B429" s="2">
        <v>45429</v>
      </c>
      <c r="C429" t="s">
        <v>21</v>
      </c>
      <c r="D429" t="s">
        <v>42</v>
      </c>
      <c r="E429" t="s">
        <v>14</v>
      </c>
      <c r="F429" t="s">
        <v>38</v>
      </c>
      <c r="G429" t="s">
        <v>43</v>
      </c>
      <c r="H429">
        <v>3</v>
      </c>
      <c r="I429" s="3">
        <v>36</v>
      </c>
      <c r="J429" s="3">
        <v>108</v>
      </c>
      <c r="K429" t="s">
        <v>30</v>
      </c>
      <c r="L429" t="s">
        <v>33</v>
      </c>
    </row>
    <row r="430" spans="1:12" x14ac:dyDescent="0.3">
      <c r="A430">
        <v>11112</v>
      </c>
      <c r="B430" s="2">
        <v>45429</v>
      </c>
      <c r="C430" t="s">
        <v>37</v>
      </c>
      <c r="D430" t="s">
        <v>42</v>
      </c>
      <c r="E430" t="s">
        <v>14</v>
      </c>
      <c r="F430" t="s">
        <v>28</v>
      </c>
      <c r="G430" t="s">
        <v>34</v>
      </c>
      <c r="H430">
        <v>1</v>
      </c>
      <c r="I430" s="3">
        <v>52</v>
      </c>
      <c r="J430" s="3">
        <v>52</v>
      </c>
      <c r="K430" t="s">
        <v>25</v>
      </c>
      <c r="L430" t="s">
        <v>33</v>
      </c>
    </row>
    <row r="431" spans="1:12" x14ac:dyDescent="0.3">
      <c r="A431">
        <v>10609</v>
      </c>
      <c r="B431" s="2">
        <v>45430</v>
      </c>
      <c r="C431" t="s">
        <v>12</v>
      </c>
      <c r="D431" t="s">
        <v>26</v>
      </c>
      <c r="E431" t="s">
        <v>14</v>
      </c>
      <c r="F431" t="s">
        <v>28</v>
      </c>
      <c r="G431" t="s">
        <v>36</v>
      </c>
      <c r="H431">
        <v>3</v>
      </c>
      <c r="I431" s="3">
        <v>101</v>
      </c>
      <c r="J431" s="3">
        <v>303</v>
      </c>
      <c r="K431" t="s">
        <v>32</v>
      </c>
      <c r="L431" t="s">
        <v>18</v>
      </c>
    </row>
    <row r="432" spans="1:12" x14ac:dyDescent="0.3">
      <c r="A432">
        <v>10642</v>
      </c>
      <c r="B432" s="2">
        <v>45430</v>
      </c>
      <c r="C432" t="s">
        <v>37</v>
      </c>
      <c r="D432" t="s">
        <v>31</v>
      </c>
      <c r="E432" t="s">
        <v>23</v>
      </c>
      <c r="F432" t="s">
        <v>38</v>
      </c>
      <c r="G432" t="s">
        <v>43</v>
      </c>
      <c r="H432">
        <v>3</v>
      </c>
      <c r="I432" s="3">
        <v>105</v>
      </c>
      <c r="J432" s="3">
        <v>315</v>
      </c>
      <c r="K432" t="s">
        <v>17</v>
      </c>
      <c r="L432" t="s">
        <v>27</v>
      </c>
    </row>
    <row r="433" spans="1:12" x14ac:dyDescent="0.3">
      <c r="A433">
        <v>10716</v>
      </c>
      <c r="B433" s="2">
        <v>45430</v>
      </c>
      <c r="C433" t="s">
        <v>37</v>
      </c>
      <c r="D433" t="s">
        <v>31</v>
      </c>
      <c r="E433" t="s">
        <v>23</v>
      </c>
      <c r="F433" t="s">
        <v>15</v>
      </c>
      <c r="G433" t="s">
        <v>19</v>
      </c>
      <c r="H433">
        <v>3</v>
      </c>
      <c r="I433" s="3">
        <v>97</v>
      </c>
      <c r="J433" s="3">
        <v>291</v>
      </c>
      <c r="K433" t="s">
        <v>32</v>
      </c>
      <c r="L433" t="s">
        <v>18</v>
      </c>
    </row>
    <row r="434" spans="1:12" x14ac:dyDescent="0.3">
      <c r="A434">
        <v>11034</v>
      </c>
      <c r="B434" s="2">
        <v>45430</v>
      </c>
      <c r="C434" t="s">
        <v>40</v>
      </c>
      <c r="D434" t="s">
        <v>13</v>
      </c>
      <c r="E434" t="s">
        <v>14</v>
      </c>
      <c r="F434" t="s">
        <v>15</v>
      </c>
      <c r="G434" t="s">
        <v>16</v>
      </c>
      <c r="H434">
        <v>3</v>
      </c>
      <c r="I434" s="3">
        <v>54</v>
      </c>
      <c r="J434" s="3">
        <v>162</v>
      </c>
      <c r="K434" t="s">
        <v>17</v>
      </c>
      <c r="L434" t="s">
        <v>18</v>
      </c>
    </row>
    <row r="435" spans="1:12" x14ac:dyDescent="0.3">
      <c r="A435">
        <v>10033</v>
      </c>
      <c r="B435" s="2">
        <v>45431</v>
      </c>
      <c r="C435" t="s">
        <v>37</v>
      </c>
      <c r="D435" t="s">
        <v>22</v>
      </c>
      <c r="E435" t="s">
        <v>14</v>
      </c>
      <c r="F435" t="s">
        <v>38</v>
      </c>
      <c r="G435" t="s">
        <v>41</v>
      </c>
      <c r="H435">
        <v>1</v>
      </c>
      <c r="I435" s="3">
        <v>59</v>
      </c>
      <c r="J435" s="3">
        <v>59</v>
      </c>
      <c r="K435" t="s">
        <v>35</v>
      </c>
      <c r="L435" t="s">
        <v>20</v>
      </c>
    </row>
    <row r="436" spans="1:12" x14ac:dyDescent="0.3">
      <c r="A436">
        <v>10857</v>
      </c>
      <c r="B436" s="2">
        <v>45431</v>
      </c>
      <c r="C436" t="s">
        <v>12</v>
      </c>
      <c r="D436" t="s">
        <v>26</v>
      </c>
      <c r="E436" t="s">
        <v>23</v>
      </c>
      <c r="F436" t="s">
        <v>15</v>
      </c>
      <c r="G436" t="s">
        <v>19</v>
      </c>
      <c r="H436">
        <v>3</v>
      </c>
      <c r="I436" s="3">
        <v>135</v>
      </c>
      <c r="J436" s="3">
        <v>405</v>
      </c>
      <c r="K436" t="s">
        <v>32</v>
      </c>
      <c r="L436" t="s">
        <v>27</v>
      </c>
    </row>
    <row r="437" spans="1:12" x14ac:dyDescent="0.3">
      <c r="A437">
        <v>11063</v>
      </c>
      <c r="B437" s="2">
        <v>45431</v>
      </c>
      <c r="C437" t="s">
        <v>40</v>
      </c>
      <c r="D437" t="s">
        <v>22</v>
      </c>
      <c r="E437" t="s">
        <v>23</v>
      </c>
      <c r="F437" t="s">
        <v>15</v>
      </c>
      <c r="G437" t="s">
        <v>16</v>
      </c>
      <c r="H437">
        <v>4</v>
      </c>
      <c r="I437" s="3">
        <v>60</v>
      </c>
      <c r="J437" s="3">
        <v>240</v>
      </c>
      <c r="K437" t="s">
        <v>32</v>
      </c>
      <c r="L437" t="s">
        <v>20</v>
      </c>
    </row>
    <row r="438" spans="1:12" x14ac:dyDescent="0.3">
      <c r="A438">
        <v>10076</v>
      </c>
      <c r="B438" s="2">
        <v>45432</v>
      </c>
      <c r="C438" t="s">
        <v>40</v>
      </c>
      <c r="D438" t="s">
        <v>31</v>
      </c>
      <c r="E438" t="s">
        <v>23</v>
      </c>
      <c r="F438" t="s">
        <v>38</v>
      </c>
      <c r="G438" t="s">
        <v>41</v>
      </c>
      <c r="H438">
        <v>5</v>
      </c>
      <c r="I438" s="3">
        <v>52</v>
      </c>
      <c r="J438" s="3">
        <v>260</v>
      </c>
      <c r="K438" t="s">
        <v>32</v>
      </c>
      <c r="L438" t="s">
        <v>27</v>
      </c>
    </row>
    <row r="439" spans="1:12" x14ac:dyDescent="0.3">
      <c r="A439">
        <v>10425</v>
      </c>
      <c r="B439" s="2">
        <v>45432</v>
      </c>
      <c r="C439" t="s">
        <v>21</v>
      </c>
      <c r="D439" t="s">
        <v>26</v>
      </c>
      <c r="E439" t="s">
        <v>23</v>
      </c>
      <c r="F439" t="s">
        <v>15</v>
      </c>
      <c r="G439" t="s">
        <v>19</v>
      </c>
      <c r="H439">
        <v>4</v>
      </c>
      <c r="I439" s="3">
        <v>83</v>
      </c>
      <c r="J439" s="3">
        <v>332</v>
      </c>
      <c r="K439" t="s">
        <v>30</v>
      </c>
      <c r="L439" t="s">
        <v>20</v>
      </c>
    </row>
    <row r="440" spans="1:12" x14ac:dyDescent="0.3">
      <c r="A440">
        <v>10533</v>
      </c>
      <c r="B440" s="2">
        <v>45432</v>
      </c>
      <c r="C440" t="s">
        <v>12</v>
      </c>
      <c r="D440" t="s">
        <v>31</v>
      </c>
      <c r="E440" t="s">
        <v>14</v>
      </c>
      <c r="F440" t="s">
        <v>15</v>
      </c>
      <c r="G440" t="s">
        <v>19</v>
      </c>
      <c r="H440">
        <v>3</v>
      </c>
      <c r="I440" s="3">
        <v>139</v>
      </c>
      <c r="J440" s="3">
        <v>417</v>
      </c>
      <c r="K440" t="s">
        <v>30</v>
      </c>
      <c r="L440" t="s">
        <v>33</v>
      </c>
    </row>
    <row r="441" spans="1:12" x14ac:dyDescent="0.3">
      <c r="A441">
        <v>10121</v>
      </c>
      <c r="B441" s="2">
        <v>45433</v>
      </c>
      <c r="C441" t="s">
        <v>12</v>
      </c>
      <c r="D441" t="s">
        <v>13</v>
      </c>
      <c r="E441" t="s">
        <v>23</v>
      </c>
      <c r="F441" t="s">
        <v>28</v>
      </c>
      <c r="G441" t="s">
        <v>29</v>
      </c>
      <c r="H441">
        <v>2</v>
      </c>
      <c r="I441" s="3">
        <v>20</v>
      </c>
      <c r="J441" s="3">
        <v>40</v>
      </c>
      <c r="K441" t="s">
        <v>32</v>
      </c>
      <c r="L441" t="s">
        <v>18</v>
      </c>
    </row>
    <row r="442" spans="1:12" x14ac:dyDescent="0.3">
      <c r="A442">
        <v>10911</v>
      </c>
      <c r="B442" s="2">
        <v>45433</v>
      </c>
      <c r="C442" t="s">
        <v>12</v>
      </c>
      <c r="D442" t="s">
        <v>31</v>
      </c>
      <c r="E442" t="s">
        <v>14</v>
      </c>
      <c r="F442" t="s">
        <v>15</v>
      </c>
      <c r="G442" t="s">
        <v>16</v>
      </c>
      <c r="H442">
        <v>5</v>
      </c>
      <c r="I442" s="3">
        <v>137</v>
      </c>
      <c r="J442" s="3">
        <v>685</v>
      </c>
      <c r="K442" t="s">
        <v>30</v>
      </c>
      <c r="L442" t="s">
        <v>18</v>
      </c>
    </row>
    <row r="443" spans="1:12" x14ac:dyDescent="0.3">
      <c r="A443">
        <v>10006</v>
      </c>
      <c r="B443" s="2">
        <v>45434</v>
      </c>
      <c r="C443" t="s">
        <v>21</v>
      </c>
      <c r="D443" t="s">
        <v>26</v>
      </c>
      <c r="E443" t="s">
        <v>14</v>
      </c>
      <c r="F443" t="s">
        <v>28</v>
      </c>
      <c r="G443" t="s">
        <v>34</v>
      </c>
      <c r="H443">
        <v>1</v>
      </c>
      <c r="I443" s="3">
        <v>117</v>
      </c>
      <c r="J443" s="3">
        <v>117</v>
      </c>
      <c r="K443" t="s">
        <v>35</v>
      </c>
      <c r="L443" t="s">
        <v>33</v>
      </c>
    </row>
    <row r="444" spans="1:12" x14ac:dyDescent="0.3">
      <c r="A444">
        <v>10317</v>
      </c>
      <c r="B444" s="2">
        <v>45434</v>
      </c>
      <c r="C444" t="s">
        <v>40</v>
      </c>
      <c r="D444" t="s">
        <v>26</v>
      </c>
      <c r="E444" t="s">
        <v>14</v>
      </c>
      <c r="F444" t="s">
        <v>28</v>
      </c>
      <c r="G444" t="s">
        <v>36</v>
      </c>
      <c r="H444">
        <v>5</v>
      </c>
      <c r="I444" s="3">
        <v>59</v>
      </c>
      <c r="J444" s="3">
        <v>295</v>
      </c>
      <c r="K444" t="s">
        <v>17</v>
      </c>
      <c r="L444" t="s">
        <v>20</v>
      </c>
    </row>
    <row r="445" spans="1:12" x14ac:dyDescent="0.3">
      <c r="A445">
        <v>10635</v>
      </c>
      <c r="B445" s="2">
        <v>45434</v>
      </c>
      <c r="C445" t="s">
        <v>37</v>
      </c>
      <c r="D445" t="s">
        <v>13</v>
      </c>
      <c r="E445" t="s">
        <v>23</v>
      </c>
      <c r="F445" t="s">
        <v>28</v>
      </c>
      <c r="G445" t="s">
        <v>34</v>
      </c>
      <c r="H445">
        <v>5</v>
      </c>
      <c r="I445" s="3">
        <v>39</v>
      </c>
      <c r="J445" s="3">
        <v>195</v>
      </c>
      <c r="K445" t="s">
        <v>35</v>
      </c>
      <c r="L445" t="s">
        <v>33</v>
      </c>
    </row>
    <row r="446" spans="1:12" x14ac:dyDescent="0.3">
      <c r="A446">
        <v>10762</v>
      </c>
      <c r="B446" s="2">
        <v>45434</v>
      </c>
      <c r="C446" t="s">
        <v>12</v>
      </c>
      <c r="D446" t="s">
        <v>26</v>
      </c>
      <c r="E446" t="s">
        <v>23</v>
      </c>
      <c r="F446" t="s">
        <v>15</v>
      </c>
      <c r="G446" t="s">
        <v>19</v>
      </c>
      <c r="H446">
        <v>4</v>
      </c>
      <c r="I446" s="3">
        <v>83</v>
      </c>
      <c r="J446" s="3">
        <v>332</v>
      </c>
      <c r="K446" t="s">
        <v>35</v>
      </c>
      <c r="L446" t="s">
        <v>33</v>
      </c>
    </row>
    <row r="447" spans="1:12" x14ac:dyDescent="0.3">
      <c r="A447">
        <v>10863</v>
      </c>
      <c r="B447" s="2">
        <v>45434</v>
      </c>
      <c r="C447" t="s">
        <v>21</v>
      </c>
      <c r="D447" t="s">
        <v>13</v>
      </c>
      <c r="E447" t="s">
        <v>14</v>
      </c>
      <c r="F447" t="s">
        <v>28</v>
      </c>
      <c r="G447" t="s">
        <v>34</v>
      </c>
      <c r="H447">
        <v>4</v>
      </c>
      <c r="I447" s="3">
        <v>48</v>
      </c>
      <c r="J447" s="3">
        <v>192</v>
      </c>
      <c r="K447" t="s">
        <v>17</v>
      </c>
      <c r="L447" t="s">
        <v>20</v>
      </c>
    </row>
    <row r="448" spans="1:12" x14ac:dyDescent="0.3">
      <c r="A448">
        <v>10990</v>
      </c>
      <c r="B448" s="2">
        <v>45434</v>
      </c>
      <c r="C448" t="s">
        <v>12</v>
      </c>
      <c r="D448" t="s">
        <v>22</v>
      </c>
      <c r="E448" t="s">
        <v>23</v>
      </c>
      <c r="F448" t="s">
        <v>15</v>
      </c>
      <c r="G448" t="s">
        <v>24</v>
      </c>
      <c r="H448">
        <v>2</v>
      </c>
      <c r="I448" s="3">
        <v>111</v>
      </c>
      <c r="J448" s="3">
        <v>222</v>
      </c>
      <c r="K448" t="s">
        <v>25</v>
      </c>
      <c r="L448" t="s">
        <v>33</v>
      </c>
    </row>
    <row r="449" spans="1:12" x14ac:dyDescent="0.3">
      <c r="A449">
        <v>11082</v>
      </c>
      <c r="B449" s="2">
        <v>45434</v>
      </c>
      <c r="C449" t="s">
        <v>21</v>
      </c>
      <c r="D449" t="s">
        <v>31</v>
      </c>
      <c r="E449" t="s">
        <v>14</v>
      </c>
      <c r="F449" t="s">
        <v>28</v>
      </c>
      <c r="G449" t="s">
        <v>36</v>
      </c>
      <c r="H449">
        <v>4</v>
      </c>
      <c r="I449" s="3">
        <v>49</v>
      </c>
      <c r="J449" s="3">
        <v>196</v>
      </c>
      <c r="K449" t="s">
        <v>30</v>
      </c>
      <c r="L449" t="s">
        <v>20</v>
      </c>
    </row>
    <row r="450" spans="1:12" x14ac:dyDescent="0.3">
      <c r="A450">
        <v>10161</v>
      </c>
      <c r="B450" s="2">
        <v>45436</v>
      </c>
      <c r="C450" t="s">
        <v>21</v>
      </c>
      <c r="D450" t="s">
        <v>22</v>
      </c>
      <c r="E450" t="s">
        <v>23</v>
      </c>
      <c r="F450" t="s">
        <v>15</v>
      </c>
      <c r="G450" t="s">
        <v>24</v>
      </c>
      <c r="H450">
        <v>4</v>
      </c>
      <c r="I450" s="3">
        <v>138</v>
      </c>
      <c r="J450" s="3">
        <v>552</v>
      </c>
      <c r="K450" t="s">
        <v>32</v>
      </c>
      <c r="L450" t="s">
        <v>20</v>
      </c>
    </row>
    <row r="451" spans="1:12" x14ac:dyDescent="0.3">
      <c r="A451">
        <v>10615</v>
      </c>
      <c r="B451" s="2">
        <v>45436</v>
      </c>
      <c r="C451" t="s">
        <v>37</v>
      </c>
      <c r="D451" t="s">
        <v>22</v>
      </c>
      <c r="E451" t="s">
        <v>14</v>
      </c>
      <c r="F451" t="s">
        <v>38</v>
      </c>
      <c r="G451" t="s">
        <v>39</v>
      </c>
      <c r="H451">
        <v>4</v>
      </c>
      <c r="I451" s="3">
        <v>63</v>
      </c>
      <c r="J451" s="3">
        <v>252</v>
      </c>
      <c r="K451" t="s">
        <v>17</v>
      </c>
      <c r="L451" t="s">
        <v>18</v>
      </c>
    </row>
    <row r="452" spans="1:12" x14ac:dyDescent="0.3">
      <c r="A452">
        <v>11198</v>
      </c>
      <c r="B452" s="2">
        <v>45436</v>
      </c>
      <c r="C452" t="s">
        <v>40</v>
      </c>
      <c r="D452" t="s">
        <v>26</v>
      </c>
      <c r="E452" t="s">
        <v>23</v>
      </c>
      <c r="F452" t="s">
        <v>28</v>
      </c>
      <c r="G452" t="s">
        <v>34</v>
      </c>
      <c r="H452">
        <v>4</v>
      </c>
      <c r="I452" s="3">
        <v>66</v>
      </c>
      <c r="J452" s="3">
        <v>264</v>
      </c>
      <c r="K452" t="s">
        <v>17</v>
      </c>
      <c r="L452" t="s">
        <v>20</v>
      </c>
    </row>
    <row r="453" spans="1:12" x14ac:dyDescent="0.3">
      <c r="A453">
        <v>10506</v>
      </c>
      <c r="B453" s="2">
        <v>45437</v>
      </c>
      <c r="C453" t="s">
        <v>37</v>
      </c>
      <c r="D453" t="s">
        <v>26</v>
      </c>
      <c r="E453" t="s">
        <v>23</v>
      </c>
      <c r="F453" t="s">
        <v>15</v>
      </c>
      <c r="G453" t="s">
        <v>24</v>
      </c>
      <c r="H453">
        <v>5</v>
      </c>
      <c r="I453" s="3">
        <v>64</v>
      </c>
      <c r="J453" s="3">
        <v>320</v>
      </c>
      <c r="K453" t="s">
        <v>30</v>
      </c>
      <c r="L453" t="s">
        <v>18</v>
      </c>
    </row>
    <row r="454" spans="1:12" x14ac:dyDescent="0.3">
      <c r="A454">
        <v>10885</v>
      </c>
      <c r="B454" s="2">
        <v>45437</v>
      </c>
      <c r="C454" t="s">
        <v>12</v>
      </c>
      <c r="D454" t="s">
        <v>13</v>
      </c>
      <c r="E454" t="s">
        <v>23</v>
      </c>
      <c r="F454" t="s">
        <v>28</v>
      </c>
      <c r="G454" t="s">
        <v>34</v>
      </c>
      <c r="H454">
        <v>2</v>
      </c>
      <c r="I454" s="3">
        <v>70</v>
      </c>
      <c r="J454" s="3">
        <v>140</v>
      </c>
      <c r="K454" t="s">
        <v>32</v>
      </c>
      <c r="L454" t="s">
        <v>33</v>
      </c>
    </row>
    <row r="455" spans="1:12" x14ac:dyDescent="0.3">
      <c r="A455">
        <v>11098</v>
      </c>
      <c r="B455" s="2">
        <v>45437</v>
      </c>
      <c r="C455" t="s">
        <v>37</v>
      </c>
      <c r="D455" t="s">
        <v>26</v>
      </c>
      <c r="E455" t="s">
        <v>23</v>
      </c>
      <c r="F455" t="s">
        <v>28</v>
      </c>
      <c r="G455" t="s">
        <v>29</v>
      </c>
      <c r="H455">
        <v>2</v>
      </c>
      <c r="I455" s="3">
        <v>149</v>
      </c>
      <c r="J455" s="3">
        <v>298</v>
      </c>
      <c r="K455" t="s">
        <v>30</v>
      </c>
      <c r="L455" t="s">
        <v>20</v>
      </c>
    </row>
    <row r="456" spans="1:12" x14ac:dyDescent="0.3">
      <c r="A456">
        <v>11123</v>
      </c>
      <c r="B456" s="2">
        <v>45437</v>
      </c>
      <c r="C456" t="s">
        <v>40</v>
      </c>
      <c r="D456" t="s">
        <v>22</v>
      </c>
      <c r="E456" t="s">
        <v>14</v>
      </c>
      <c r="F456" t="s">
        <v>15</v>
      </c>
      <c r="G456" t="s">
        <v>19</v>
      </c>
      <c r="H456">
        <v>2</v>
      </c>
      <c r="I456" s="3">
        <v>25</v>
      </c>
      <c r="J456" s="3">
        <v>50</v>
      </c>
      <c r="K456" t="s">
        <v>30</v>
      </c>
      <c r="L456" t="s">
        <v>33</v>
      </c>
    </row>
    <row r="457" spans="1:12" x14ac:dyDescent="0.3">
      <c r="A457">
        <v>10149</v>
      </c>
      <c r="B457" s="2">
        <v>45438</v>
      </c>
      <c r="C457" t="s">
        <v>40</v>
      </c>
      <c r="D457" t="s">
        <v>31</v>
      </c>
      <c r="E457" t="s">
        <v>23</v>
      </c>
      <c r="F457" t="s">
        <v>38</v>
      </c>
      <c r="G457" t="s">
        <v>41</v>
      </c>
      <c r="H457">
        <v>1</v>
      </c>
      <c r="I457" s="3">
        <v>114</v>
      </c>
      <c r="J457" s="3">
        <v>114</v>
      </c>
      <c r="K457" t="s">
        <v>30</v>
      </c>
      <c r="L457" t="s">
        <v>18</v>
      </c>
    </row>
    <row r="458" spans="1:12" x14ac:dyDescent="0.3">
      <c r="A458">
        <v>10754</v>
      </c>
      <c r="B458" s="2">
        <v>45438</v>
      </c>
      <c r="C458" t="s">
        <v>12</v>
      </c>
      <c r="D458" t="s">
        <v>26</v>
      </c>
      <c r="E458" t="s">
        <v>14</v>
      </c>
      <c r="F458" t="s">
        <v>15</v>
      </c>
      <c r="G458" t="s">
        <v>16</v>
      </c>
      <c r="H458">
        <v>4</v>
      </c>
      <c r="I458" s="3">
        <v>88</v>
      </c>
      <c r="J458" s="3">
        <v>352</v>
      </c>
      <c r="K458" t="s">
        <v>30</v>
      </c>
      <c r="L458" t="s">
        <v>20</v>
      </c>
    </row>
    <row r="459" spans="1:12" x14ac:dyDescent="0.3">
      <c r="A459">
        <v>11023</v>
      </c>
      <c r="B459" s="2">
        <v>45438</v>
      </c>
      <c r="C459" t="s">
        <v>21</v>
      </c>
      <c r="D459" t="s">
        <v>26</v>
      </c>
      <c r="E459" t="s">
        <v>14</v>
      </c>
      <c r="F459" t="s">
        <v>28</v>
      </c>
      <c r="G459" t="s">
        <v>36</v>
      </c>
      <c r="H459">
        <v>3</v>
      </c>
      <c r="I459" s="3">
        <v>74</v>
      </c>
      <c r="J459" s="3">
        <v>222</v>
      </c>
      <c r="K459" t="s">
        <v>30</v>
      </c>
      <c r="L459" t="s">
        <v>20</v>
      </c>
    </row>
    <row r="460" spans="1:12" x14ac:dyDescent="0.3">
      <c r="A460">
        <v>11061</v>
      </c>
      <c r="B460" s="2">
        <v>45438</v>
      </c>
      <c r="C460" t="s">
        <v>40</v>
      </c>
      <c r="D460" t="s">
        <v>13</v>
      </c>
      <c r="E460" t="s">
        <v>14</v>
      </c>
      <c r="F460" t="s">
        <v>15</v>
      </c>
      <c r="G460" t="s">
        <v>19</v>
      </c>
      <c r="H460">
        <v>4</v>
      </c>
      <c r="I460" s="3">
        <v>23</v>
      </c>
      <c r="J460" s="3">
        <v>92</v>
      </c>
      <c r="K460" t="s">
        <v>25</v>
      </c>
      <c r="L460" t="s">
        <v>20</v>
      </c>
    </row>
    <row r="461" spans="1:12" x14ac:dyDescent="0.3">
      <c r="A461">
        <v>10089</v>
      </c>
      <c r="B461" s="2">
        <v>45439</v>
      </c>
      <c r="C461" t="s">
        <v>21</v>
      </c>
      <c r="D461" t="s">
        <v>22</v>
      </c>
      <c r="E461" t="s">
        <v>14</v>
      </c>
      <c r="F461" t="s">
        <v>28</v>
      </c>
      <c r="G461" t="s">
        <v>29</v>
      </c>
      <c r="H461">
        <v>4</v>
      </c>
      <c r="I461" s="3">
        <v>146</v>
      </c>
      <c r="J461" s="3">
        <v>584</v>
      </c>
      <c r="K461" t="s">
        <v>30</v>
      </c>
      <c r="L461" t="s">
        <v>18</v>
      </c>
    </row>
    <row r="462" spans="1:12" x14ac:dyDescent="0.3">
      <c r="A462">
        <v>10131</v>
      </c>
      <c r="B462" s="2">
        <v>45439</v>
      </c>
      <c r="C462" t="s">
        <v>37</v>
      </c>
      <c r="D462" t="s">
        <v>26</v>
      </c>
      <c r="E462" t="s">
        <v>14</v>
      </c>
      <c r="F462" t="s">
        <v>38</v>
      </c>
      <c r="G462" t="s">
        <v>43</v>
      </c>
      <c r="H462">
        <v>4</v>
      </c>
      <c r="I462" s="3">
        <v>33</v>
      </c>
      <c r="J462" s="3">
        <v>132</v>
      </c>
      <c r="K462" t="s">
        <v>17</v>
      </c>
      <c r="L462" t="s">
        <v>20</v>
      </c>
    </row>
    <row r="463" spans="1:12" x14ac:dyDescent="0.3">
      <c r="A463">
        <v>10695</v>
      </c>
      <c r="B463" s="2">
        <v>45439</v>
      </c>
      <c r="C463" t="s">
        <v>40</v>
      </c>
      <c r="D463" t="s">
        <v>13</v>
      </c>
      <c r="E463" t="s">
        <v>23</v>
      </c>
      <c r="F463" t="s">
        <v>38</v>
      </c>
      <c r="G463" t="s">
        <v>41</v>
      </c>
      <c r="H463">
        <v>4</v>
      </c>
      <c r="I463" s="3">
        <v>115</v>
      </c>
      <c r="J463" s="3">
        <v>460</v>
      </c>
      <c r="K463" t="s">
        <v>35</v>
      </c>
      <c r="L463" t="s">
        <v>27</v>
      </c>
    </row>
    <row r="464" spans="1:12" x14ac:dyDescent="0.3">
      <c r="A464">
        <v>10748</v>
      </c>
      <c r="B464" s="2">
        <v>45439</v>
      </c>
      <c r="C464" t="s">
        <v>37</v>
      </c>
      <c r="D464" t="s">
        <v>31</v>
      </c>
      <c r="E464" t="s">
        <v>23</v>
      </c>
      <c r="F464" t="s">
        <v>28</v>
      </c>
      <c r="G464" t="s">
        <v>29</v>
      </c>
      <c r="H464">
        <v>1</v>
      </c>
      <c r="I464" s="3">
        <v>74</v>
      </c>
      <c r="J464" s="3">
        <v>74</v>
      </c>
      <c r="K464" t="s">
        <v>17</v>
      </c>
      <c r="L464" t="s">
        <v>27</v>
      </c>
    </row>
    <row r="465" spans="1:12" x14ac:dyDescent="0.3">
      <c r="A465">
        <v>11154</v>
      </c>
      <c r="B465" s="2">
        <v>45439</v>
      </c>
      <c r="C465" t="s">
        <v>40</v>
      </c>
      <c r="D465" t="s">
        <v>31</v>
      </c>
      <c r="E465" t="s">
        <v>23</v>
      </c>
      <c r="F465" t="s">
        <v>38</v>
      </c>
      <c r="G465" t="s">
        <v>39</v>
      </c>
      <c r="H465">
        <v>5</v>
      </c>
      <c r="I465" s="3">
        <v>108</v>
      </c>
      <c r="J465" s="3">
        <v>540</v>
      </c>
      <c r="K465" t="s">
        <v>32</v>
      </c>
      <c r="L465" t="s">
        <v>27</v>
      </c>
    </row>
    <row r="466" spans="1:12" x14ac:dyDescent="0.3">
      <c r="A466">
        <v>10700</v>
      </c>
      <c r="B466" s="2">
        <v>45440</v>
      </c>
      <c r="C466" t="s">
        <v>12</v>
      </c>
      <c r="D466" t="s">
        <v>22</v>
      </c>
      <c r="E466" t="s">
        <v>23</v>
      </c>
      <c r="F466" t="s">
        <v>15</v>
      </c>
      <c r="G466" t="s">
        <v>24</v>
      </c>
      <c r="H466">
        <v>3</v>
      </c>
      <c r="I466" s="3">
        <v>141</v>
      </c>
      <c r="J466" s="3">
        <v>423</v>
      </c>
      <c r="K466" t="s">
        <v>35</v>
      </c>
      <c r="L466" t="s">
        <v>18</v>
      </c>
    </row>
    <row r="467" spans="1:12" x14ac:dyDescent="0.3">
      <c r="A467">
        <v>10967</v>
      </c>
      <c r="B467" s="2">
        <v>45440</v>
      </c>
      <c r="C467" t="s">
        <v>40</v>
      </c>
      <c r="D467" t="s">
        <v>31</v>
      </c>
      <c r="E467" t="s">
        <v>14</v>
      </c>
      <c r="F467" t="s">
        <v>28</v>
      </c>
      <c r="G467" t="s">
        <v>34</v>
      </c>
      <c r="H467">
        <v>3</v>
      </c>
      <c r="I467" s="3">
        <v>49</v>
      </c>
      <c r="J467" s="3">
        <v>147</v>
      </c>
      <c r="K467" t="s">
        <v>35</v>
      </c>
      <c r="L467" t="s">
        <v>20</v>
      </c>
    </row>
    <row r="468" spans="1:12" x14ac:dyDescent="0.3">
      <c r="A468">
        <v>11166</v>
      </c>
      <c r="B468" s="2">
        <v>45440</v>
      </c>
      <c r="C468" t="s">
        <v>21</v>
      </c>
      <c r="D468" t="s">
        <v>26</v>
      </c>
      <c r="E468" t="s">
        <v>14</v>
      </c>
      <c r="F468" t="s">
        <v>15</v>
      </c>
      <c r="G468" t="s">
        <v>16</v>
      </c>
      <c r="H468">
        <v>3</v>
      </c>
      <c r="I468" s="3">
        <v>44</v>
      </c>
      <c r="J468" s="3">
        <v>132</v>
      </c>
      <c r="K468" t="s">
        <v>25</v>
      </c>
      <c r="L468" t="s">
        <v>18</v>
      </c>
    </row>
    <row r="469" spans="1:12" x14ac:dyDescent="0.3">
      <c r="A469">
        <v>10082</v>
      </c>
      <c r="B469" s="2">
        <v>45441</v>
      </c>
      <c r="C469" t="s">
        <v>40</v>
      </c>
      <c r="D469" t="s">
        <v>13</v>
      </c>
      <c r="E469" t="s">
        <v>23</v>
      </c>
      <c r="F469" t="s">
        <v>38</v>
      </c>
      <c r="G469" t="s">
        <v>39</v>
      </c>
      <c r="H469">
        <v>5</v>
      </c>
      <c r="I469" s="3">
        <v>140</v>
      </c>
      <c r="J469" s="3">
        <v>700</v>
      </c>
      <c r="K469" t="s">
        <v>35</v>
      </c>
      <c r="L469" t="s">
        <v>27</v>
      </c>
    </row>
    <row r="470" spans="1:12" x14ac:dyDescent="0.3">
      <c r="A470">
        <v>10292</v>
      </c>
      <c r="B470" s="2">
        <v>45441</v>
      </c>
      <c r="C470" t="s">
        <v>40</v>
      </c>
      <c r="D470" t="s">
        <v>26</v>
      </c>
      <c r="E470" t="s">
        <v>14</v>
      </c>
      <c r="F470" t="s">
        <v>28</v>
      </c>
      <c r="G470" t="s">
        <v>36</v>
      </c>
      <c r="H470">
        <v>1</v>
      </c>
      <c r="I470" s="3">
        <v>76</v>
      </c>
      <c r="J470" s="3">
        <v>76</v>
      </c>
      <c r="K470" t="s">
        <v>17</v>
      </c>
      <c r="L470" t="s">
        <v>33</v>
      </c>
    </row>
    <row r="471" spans="1:12" x14ac:dyDescent="0.3">
      <c r="A471">
        <v>10579</v>
      </c>
      <c r="B471" s="2">
        <v>45441</v>
      </c>
      <c r="C471" t="s">
        <v>21</v>
      </c>
      <c r="D471" t="s">
        <v>42</v>
      </c>
      <c r="E471" t="s">
        <v>23</v>
      </c>
      <c r="F471" t="s">
        <v>15</v>
      </c>
      <c r="G471" t="s">
        <v>24</v>
      </c>
      <c r="H471">
        <v>1</v>
      </c>
      <c r="I471" s="3">
        <v>68</v>
      </c>
      <c r="J471" s="3">
        <v>68</v>
      </c>
      <c r="K471" t="s">
        <v>35</v>
      </c>
      <c r="L471" t="s">
        <v>27</v>
      </c>
    </row>
    <row r="472" spans="1:12" x14ac:dyDescent="0.3">
      <c r="A472">
        <v>10908</v>
      </c>
      <c r="B472" s="2">
        <v>45441</v>
      </c>
      <c r="C472" t="s">
        <v>40</v>
      </c>
      <c r="D472" t="s">
        <v>42</v>
      </c>
      <c r="E472" t="s">
        <v>14</v>
      </c>
      <c r="F472" t="s">
        <v>38</v>
      </c>
      <c r="G472" t="s">
        <v>39</v>
      </c>
      <c r="H472">
        <v>2</v>
      </c>
      <c r="I472" s="3">
        <v>79</v>
      </c>
      <c r="J472" s="3">
        <v>158</v>
      </c>
      <c r="K472" t="s">
        <v>35</v>
      </c>
      <c r="L472" t="s">
        <v>18</v>
      </c>
    </row>
    <row r="473" spans="1:12" x14ac:dyDescent="0.3">
      <c r="A473">
        <v>10173</v>
      </c>
      <c r="B473" s="2">
        <v>45442</v>
      </c>
      <c r="C473" t="s">
        <v>12</v>
      </c>
      <c r="D473" t="s">
        <v>31</v>
      </c>
      <c r="E473" t="s">
        <v>14</v>
      </c>
      <c r="F473" t="s">
        <v>28</v>
      </c>
      <c r="G473" t="s">
        <v>36</v>
      </c>
      <c r="H473">
        <v>4</v>
      </c>
      <c r="I473" s="3">
        <v>29</v>
      </c>
      <c r="J473" s="3">
        <v>116</v>
      </c>
      <c r="K473" t="s">
        <v>25</v>
      </c>
      <c r="L473" t="s">
        <v>33</v>
      </c>
    </row>
    <row r="474" spans="1:12" x14ac:dyDescent="0.3">
      <c r="A474">
        <v>10873</v>
      </c>
      <c r="B474" s="2">
        <v>45442</v>
      </c>
      <c r="C474" t="s">
        <v>21</v>
      </c>
      <c r="D474" t="s">
        <v>42</v>
      </c>
      <c r="E474" t="s">
        <v>14</v>
      </c>
      <c r="F474" t="s">
        <v>28</v>
      </c>
      <c r="G474" t="s">
        <v>34</v>
      </c>
      <c r="H474">
        <v>1</v>
      </c>
      <c r="I474" s="3">
        <v>33</v>
      </c>
      <c r="J474" s="3">
        <v>33</v>
      </c>
      <c r="K474" t="s">
        <v>17</v>
      </c>
      <c r="L474" t="s">
        <v>27</v>
      </c>
    </row>
    <row r="475" spans="1:12" x14ac:dyDescent="0.3">
      <c r="A475">
        <v>10920</v>
      </c>
      <c r="B475" s="2">
        <v>45442</v>
      </c>
      <c r="C475" t="s">
        <v>40</v>
      </c>
      <c r="D475" t="s">
        <v>22</v>
      </c>
      <c r="E475" t="s">
        <v>23</v>
      </c>
      <c r="F475" t="s">
        <v>28</v>
      </c>
      <c r="G475" t="s">
        <v>36</v>
      </c>
      <c r="H475">
        <v>1</v>
      </c>
      <c r="I475" s="3">
        <v>65</v>
      </c>
      <c r="J475" s="3">
        <v>65</v>
      </c>
      <c r="K475" t="s">
        <v>32</v>
      </c>
      <c r="L475" t="s">
        <v>18</v>
      </c>
    </row>
    <row r="476" spans="1:12" x14ac:dyDescent="0.3">
      <c r="A476">
        <v>10279</v>
      </c>
      <c r="B476" s="2">
        <v>45443</v>
      </c>
      <c r="C476" t="s">
        <v>21</v>
      </c>
      <c r="D476" t="s">
        <v>31</v>
      </c>
      <c r="E476" t="s">
        <v>14</v>
      </c>
      <c r="F476" t="s">
        <v>38</v>
      </c>
      <c r="G476" t="s">
        <v>41</v>
      </c>
      <c r="H476">
        <v>4</v>
      </c>
      <c r="I476" s="3">
        <v>46</v>
      </c>
      <c r="J476" s="3">
        <v>184</v>
      </c>
      <c r="K476" t="s">
        <v>32</v>
      </c>
      <c r="L476" t="s">
        <v>33</v>
      </c>
    </row>
    <row r="477" spans="1:12" x14ac:dyDescent="0.3">
      <c r="A477">
        <v>10212</v>
      </c>
      <c r="B477" s="2">
        <v>45444</v>
      </c>
      <c r="C477" t="s">
        <v>37</v>
      </c>
      <c r="D477" t="s">
        <v>13</v>
      </c>
      <c r="E477" t="s">
        <v>23</v>
      </c>
      <c r="F477" t="s">
        <v>38</v>
      </c>
      <c r="G477" t="s">
        <v>43</v>
      </c>
      <c r="H477">
        <v>3</v>
      </c>
      <c r="I477" s="3">
        <v>77</v>
      </c>
      <c r="J477" s="3">
        <v>231</v>
      </c>
      <c r="K477" t="s">
        <v>35</v>
      </c>
      <c r="L477" t="s">
        <v>27</v>
      </c>
    </row>
    <row r="478" spans="1:12" x14ac:dyDescent="0.3">
      <c r="A478">
        <v>10765</v>
      </c>
      <c r="B478" s="2">
        <v>45444</v>
      </c>
      <c r="C478" t="s">
        <v>12</v>
      </c>
      <c r="D478" t="s">
        <v>13</v>
      </c>
      <c r="E478" t="s">
        <v>23</v>
      </c>
      <c r="F478" t="s">
        <v>38</v>
      </c>
      <c r="G478" t="s">
        <v>39</v>
      </c>
      <c r="H478">
        <v>1</v>
      </c>
      <c r="I478" s="3">
        <v>80</v>
      </c>
      <c r="J478" s="3">
        <v>80</v>
      </c>
      <c r="K478" t="s">
        <v>35</v>
      </c>
      <c r="L478" t="s">
        <v>27</v>
      </c>
    </row>
    <row r="479" spans="1:12" x14ac:dyDescent="0.3">
      <c r="A479">
        <v>10793</v>
      </c>
      <c r="B479" s="2">
        <v>45444</v>
      </c>
      <c r="C479" t="s">
        <v>21</v>
      </c>
      <c r="D479" t="s">
        <v>42</v>
      </c>
      <c r="E479" t="s">
        <v>23</v>
      </c>
      <c r="F479" t="s">
        <v>38</v>
      </c>
      <c r="G479" t="s">
        <v>43</v>
      </c>
      <c r="H479">
        <v>2</v>
      </c>
      <c r="I479" s="3">
        <v>50</v>
      </c>
      <c r="J479" s="3">
        <v>100</v>
      </c>
      <c r="K479" t="s">
        <v>17</v>
      </c>
      <c r="L479" t="s">
        <v>20</v>
      </c>
    </row>
    <row r="480" spans="1:12" x14ac:dyDescent="0.3">
      <c r="A480">
        <v>10259</v>
      </c>
      <c r="B480" s="2">
        <v>45445</v>
      </c>
      <c r="C480" t="s">
        <v>12</v>
      </c>
      <c r="D480" t="s">
        <v>22</v>
      </c>
      <c r="E480" t="s">
        <v>14</v>
      </c>
      <c r="F480" t="s">
        <v>15</v>
      </c>
      <c r="G480" t="s">
        <v>16</v>
      </c>
      <c r="H480">
        <v>4</v>
      </c>
      <c r="I480" s="3">
        <v>39</v>
      </c>
      <c r="J480" s="3">
        <v>156</v>
      </c>
      <c r="K480" t="s">
        <v>17</v>
      </c>
      <c r="L480" t="s">
        <v>27</v>
      </c>
    </row>
    <row r="481" spans="1:12" x14ac:dyDescent="0.3">
      <c r="A481">
        <v>10546</v>
      </c>
      <c r="B481" s="2">
        <v>45446</v>
      </c>
      <c r="C481" t="s">
        <v>40</v>
      </c>
      <c r="D481" t="s">
        <v>26</v>
      </c>
      <c r="E481" t="s">
        <v>14</v>
      </c>
      <c r="F481" t="s">
        <v>15</v>
      </c>
      <c r="G481" t="s">
        <v>16</v>
      </c>
      <c r="H481">
        <v>5</v>
      </c>
      <c r="I481" s="3">
        <v>54</v>
      </c>
      <c r="J481" s="3">
        <v>270</v>
      </c>
      <c r="K481" t="s">
        <v>32</v>
      </c>
      <c r="L481" t="s">
        <v>33</v>
      </c>
    </row>
    <row r="482" spans="1:12" x14ac:dyDescent="0.3">
      <c r="A482">
        <v>10827</v>
      </c>
      <c r="B482" s="2">
        <v>45446</v>
      </c>
      <c r="C482" t="s">
        <v>40</v>
      </c>
      <c r="D482" t="s">
        <v>31</v>
      </c>
      <c r="E482" t="s">
        <v>23</v>
      </c>
      <c r="F482" t="s">
        <v>15</v>
      </c>
      <c r="G482" t="s">
        <v>19</v>
      </c>
      <c r="H482">
        <v>4</v>
      </c>
      <c r="I482" s="3">
        <v>70</v>
      </c>
      <c r="J482" s="3">
        <v>280</v>
      </c>
      <c r="K482" t="s">
        <v>30</v>
      </c>
      <c r="L482" t="s">
        <v>20</v>
      </c>
    </row>
    <row r="483" spans="1:12" x14ac:dyDescent="0.3">
      <c r="A483">
        <v>11161</v>
      </c>
      <c r="B483" s="2">
        <v>45446</v>
      </c>
      <c r="C483" t="s">
        <v>37</v>
      </c>
      <c r="D483" t="s">
        <v>31</v>
      </c>
      <c r="E483" t="s">
        <v>23</v>
      </c>
      <c r="F483" t="s">
        <v>28</v>
      </c>
      <c r="G483" t="s">
        <v>29</v>
      </c>
      <c r="H483">
        <v>5</v>
      </c>
      <c r="I483" s="3">
        <v>71</v>
      </c>
      <c r="J483" s="3">
        <v>355</v>
      </c>
      <c r="K483" t="s">
        <v>17</v>
      </c>
      <c r="L483" t="s">
        <v>27</v>
      </c>
    </row>
    <row r="484" spans="1:12" x14ac:dyDescent="0.3">
      <c r="A484">
        <v>10736</v>
      </c>
      <c r="B484" s="2">
        <v>45447</v>
      </c>
      <c r="C484" t="s">
        <v>40</v>
      </c>
      <c r="D484" t="s">
        <v>31</v>
      </c>
      <c r="E484" t="s">
        <v>23</v>
      </c>
      <c r="F484" t="s">
        <v>38</v>
      </c>
      <c r="G484" t="s">
        <v>43</v>
      </c>
      <c r="H484">
        <v>3</v>
      </c>
      <c r="I484" s="3">
        <v>59</v>
      </c>
      <c r="J484" s="3">
        <v>177</v>
      </c>
      <c r="K484" t="s">
        <v>30</v>
      </c>
      <c r="L484" t="s">
        <v>20</v>
      </c>
    </row>
    <row r="485" spans="1:12" x14ac:dyDescent="0.3">
      <c r="A485">
        <v>11024</v>
      </c>
      <c r="B485" s="2">
        <v>45447</v>
      </c>
      <c r="C485" t="s">
        <v>40</v>
      </c>
      <c r="D485" t="s">
        <v>31</v>
      </c>
      <c r="E485" t="s">
        <v>14</v>
      </c>
      <c r="F485" t="s">
        <v>38</v>
      </c>
      <c r="G485" t="s">
        <v>39</v>
      </c>
      <c r="H485">
        <v>3</v>
      </c>
      <c r="I485" s="3">
        <v>105</v>
      </c>
      <c r="J485" s="3">
        <v>315</v>
      </c>
      <c r="K485" t="s">
        <v>17</v>
      </c>
      <c r="L485" t="s">
        <v>20</v>
      </c>
    </row>
    <row r="486" spans="1:12" x14ac:dyDescent="0.3">
      <c r="A486">
        <v>10040</v>
      </c>
      <c r="B486" s="2">
        <v>45448</v>
      </c>
      <c r="C486" t="s">
        <v>12</v>
      </c>
      <c r="D486" t="s">
        <v>13</v>
      </c>
      <c r="E486" t="s">
        <v>14</v>
      </c>
      <c r="F486" t="s">
        <v>28</v>
      </c>
      <c r="G486" t="s">
        <v>34</v>
      </c>
      <c r="H486">
        <v>4</v>
      </c>
      <c r="I486" s="3">
        <v>109</v>
      </c>
      <c r="J486" s="3">
        <v>436</v>
      </c>
      <c r="K486" t="s">
        <v>32</v>
      </c>
      <c r="L486" t="s">
        <v>27</v>
      </c>
    </row>
    <row r="487" spans="1:12" x14ac:dyDescent="0.3">
      <c r="A487">
        <v>10080</v>
      </c>
      <c r="B487" s="2">
        <v>45448</v>
      </c>
      <c r="C487" t="s">
        <v>40</v>
      </c>
      <c r="D487" t="s">
        <v>22</v>
      </c>
      <c r="E487" t="s">
        <v>14</v>
      </c>
      <c r="F487" t="s">
        <v>38</v>
      </c>
      <c r="G487" t="s">
        <v>39</v>
      </c>
      <c r="H487">
        <v>3</v>
      </c>
      <c r="I487" s="3">
        <v>129</v>
      </c>
      <c r="J487" s="3">
        <v>387</v>
      </c>
      <c r="K487" t="s">
        <v>32</v>
      </c>
      <c r="L487" t="s">
        <v>20</v>
      </c>
    </row>
    <row r="488" spans="1:12" x14ac:dyDescent="0.3">
      <c r="A488">
        <v>10903</v>
      </c>
      <c r="B488" s="2">
        <v>45448</v>
      </c>
      <c r="C488" t="s">
        <v>40</v>
      </c>
      <c r="D488" t="s">
        <v>42</v>
      </c>
      <c r="E488" t="s">
        <v>23</v>
      </c>
      <c r="F488" t="s">
        <v>38</v>
      </c>
      <c r="G488" t="s">
        <v>41</v>
      </c>
      <c r="H488">
        <v>5</v>
      </c>
      <c r="I488" s="3">
        <v>52</v>
      </c>
      <c r="J488" s="3">
        <v>260</v>
      </c>
      <c r="K488" t="s">
        <v>35</v>
      </c>
      <c r="L488" t="s">
        <v>20</v>
      </c>
    </row>
    <row r="489" spans="1:12" x14ac:dyDescent="0.3">
      <c r="A489">
        <v>10199</v>
      </c>
      <c r="B489" s="2">
        <v>45449</v>
      </c>
      <c r="C489" t="s">
        <v>21</v>
      </c>
      <c r="D489" t="s">
        <v>31</v>
      </c>
      <c r="E489" t="s">
        <v>14</v>
      </c>
      <c r="F489" t="s">
        <v>38</v>
      </c>
      <c r="G489" t="s">
        <v>43</v>
      </c>
      <c r="H489">
        <v>4</v>
      </c>
      <c r="I489" s="3">
        <v>147</v>
      </c>
      <c r="J489" s="3">
        <v>588</v>
      </c>
      <c r="K489" t="s">
        <v>30</v>
      </c>
      <c r="L489" t="s">
        <v>27</v>
      </c>
    </row>
    <row r="490" spans="1:12" x14ac:dyDescent="0.3">
      <c r="A490">
        <v>10246</v>
      </c>
      <c r="B490" s="2">
        <v>45449</v>
      </c>
      <c r="C490" t="s">
        <v>37</v>
      </c>
      <c r="D490" t="s">
        <v>26</v>
      </c>
      <c r="E490" t="s">
        <v>23</v>
      </c>
      <c r="F490" t="s">
        <v>38</v>
      </c>
      <c r="G490" t="s">
        <v>39</v>
      </c>
      <c r="H490">
        <v>4</v>
      </c>
      <c r="I490" s="3">
        <v>111</v>
      </c>
      <c r="J490" s="3">
        <v>444</v>
      </c>
      <c r="K490" t="s">
        <v>30</v>
      </c>
      <c r="L490" t="s">
        <v>18</v>
      </c>
    </row>
    <row r="491" spans="1:12" x14ac:dyDescent="0.3">
      <c r="A491">
        <v>10264</v>
      </c>
      <c r="B491" s="2">
        <v>45449</v>
      </c>
      <c r="C491" t="s">
        <v>21</v>
      </c>
      <c r="D491" t="s">
        <v>26</v>
      </c>
      <c r="E491" t="s">
        <v>23</v>
      </c>
      <c r="F491" t="s">
        <v>38</v>
      </c>
      <c r="G491" t="s">
        <v>41</v>
      </c>
      <c r="H491">
        <v>1</v>
      </c>
      <c r="I491" s="3">
        <v>21</v>
      </c>
      <c r="J491" s="3">
        <v>21</v>
      </c>
      <c r="K491" t="s">
        <v>25</v>
      </c>
      <c r="L491" t="s">
        <v>20</v>
      </c>
    </row>
    <row r="492" spans="1:12" x14ac:dyDescent="0.3">
      <c r="A492">
        <v>10336</v>
      </c>
      <c r="B492" s="2">
        <v>45449</v>
      </c>
      <c r="C492" t="s">
        <v>21</v>
      </c>
      <c r="D492" t="s">
        <v>26</v>
      </c>
      <c r="E492" t="s">
        <v>14</v>
      </c>
      <c r="F492" t="s">
        <v>15</v>
      </c>
      <c r="G492" t="s">
        <v>19</v>
      </c>
      <c r="H492">
        <v>2</v>
      </c>
      <c r="I492" s="3">
        <v>135</v>
      </c>
      <c r="J492" s="3">
        <v>270</v>
      </c>
      <c r="K492" t="s">
        <v>25</v>
      </c>
      <c r="L492" t="s">
        <v>20</v>
      </c>
    </row>
    <row r="493" spans="1:12" x14ac:dyDescent="0.3">
      <c r="A493">
        <v>10910</v>
      </c>
      <c r="B493" s="2">
        <v>45450</v>
      </c>
      <c r="C493" t="s">
        <v>21</v>
      </c>
      <c r="D493" t="s">
        <v>42</v>
      </c>
      <c r="E493" t="s">
        <v>14</v>
      </c>
      <c r="F493" t="s">
        <v>38</v>
      </c>
      <c r="G493" t="s">
        <v>41</v>
      </c>
      <c r="H493">
        <v>2</v>
      </c>
      <c r="I493" s="3">
        <v>72</v>
      </c>
      <c r="J493" s="3">
        <v>144</v>
      </c>
      <c r="K493" t="s">
        <v>17</v>
      </c>
      <c r="L493" t="s">
        <v>33</v>
      </c>
    </row>
    <row r="494" spans="1:12" x14ac:dyDescent="0.3">
      <c r="A494">
        <v>11040</v>
      </c>
      <c r="B494" s="2">
        <v>45450</v>
      </c>
      <c r="C494" t="s">
        <v>12</v>
      </c>
      <c r="D494" t="s">
        <v>13</v>
      </c>
      <c r="E494" t="s">
        <v>23</v>
      </c>
      <c r="F494" t="s">
        <v>15</v>
      </c>
      <c r="G494" t="s">
        <v>16</v>
      </c>
      <c r="H494">
        <v>3</v>
      </c>
      <c r="I494" s="3">
        <v>25</v>
      </c>
      <c r="J494" s="3">
        <v>75</v>
      </c>
      <c r="K494" t="s">
        <v>17</v>
      </c>
      <c r="L494" t="s">
        <v>20</v>
      </c>
    </row>
    <row r="495" spans="1:12" x14ac:dyDescent="0.3">
      <c r="A495">
        <v>10327</v>
      </c>
      <c r="B495" s="2">
        <v>45451</v>
      </c>
      <c r="C495" t="s">
        <v>37</v>
      </c>
      <c r="D495" t="s">
        <v>31</v>
      </c>
      <c r="E495" t="s">
        <v>23</v>
      </c>
      <c r="F495" t="s">
        <v>38</v>
      </c>
      <c r="G495" t="s">
        <v>41</v>
      </c>
      <c r="H495">
        <v>4</v>
      </c>
      <c r="I495" s="3">
        <v>92</v>
      </c>
      <c r="J495" s="3">
        <v>368</v>
      </c>
      <c r="K495" t="s">
        <v>25</v>
      </c>
      <c r="L495" t="s">
        <v>33</v>
      </c>
    </row>
    <row r="496" spans="1:12" x14ac:dyDescent="0.3">
      <c r="A496">
        <v>10378</v>
      </c>
      <c r="B496" s="2">
        <v>45451</v>
      </c>
      <c r="C496" t="s">
        <v>21</v>
      </c>
      <c r="D496" t="s">
        <v>13</v>
      </c>
      <c r="E496" t="s">
        <v>14</v>
      </c>
      <c r="F496" t="s">
        <v>28</v>
      </c>
      <c r="G496" t="s">
        <v>36</v>
      </c>
      <c r="H496">
        <v>2</v>
      </c>
      <c r="I496" s="3">
        <v>36</v>
      </c>
      <c r="J496" s="3">
        <v>72</v>
      </c>
      <c r="K496" t="s">
        <v>32</v>
      </c>
      <c r="L496" t="s">
        <v>20</v>
      </c>
    </row>
    <row r="497" spans="1:12" x14ac:dyDescent="0.3">
      <c r="A497">
        <v>10719</v>
      </c>
      <c r="B497" s="2">
        <v>45451</v>
      </c>
      <c r="C497" t="s">
        <v>37</v>
      </c>
      <c r="D497" t="s">
        <v>13</v>
      </c>
      <c r="E497" t="s">
        <v>23</v>
      </c>
      <c r="F497" t="s">
        <v>28</v>
      </c>
      <c r="G497" t="s">
        <v>34</v>
      </c>
      <c r="H497">
        <v>4</v>
      </c>
      <c r="I497" s="3">
        <v>109</v>
      </c>
      <c r="J497" s="3">
        <v>436</v>
      </c>
      <c r="K497" t="s">
        <v>17</v>
      </c>
      <c r="L497" t="s">
        <v>33</v>
      </c>
    </row>
    <row r="498" spans="1:12" x14ac:dyDescent="0.3">
      <c r="A498">
        <v>10878</v>
      </c>
      <c r="B498" s="2">
        <v>45451</v>
      </c>
      <c r="C498" t="s">
        <v>12</v>
      </c>
      <c r="D498" t="s">
        <v>13</v>
      </c>
      <c r="E498" t="s">
        <v>23</v>
      </c>
      <c r="F498" t="s">
        <v>38</v>
      </c>
      <c r="G498" t="s">
        <v>43</v>
      </c>
      <c r="H498">
        <v>4</v>
      </c>
      <c r="I498" s="3">
        <v>111</v>
      </c>
      <c r="J498" s="3">
        <v>444</v>
      </c>
      <c r="K498" t="s">
        <v>35</v>
      </c>
      <c r="L498" t="s">
        <v>33</v>
      </c>
    </row>
    <row r="499" spans="1:12" x14ac:dyDescent="0.3">
      <c r="A499">
        <v>11134</v>
      </c>
      <c r="B499" s="2">
        <v>45451</v>
      </c>
      <c r="C499" t="s">
        <v>21</v>
      </c>
      <c r="D499" t="s">
        <v>13</v>
      </c>
      <c r="E499" t="s">
        <v>14</v>
      </c>
      <c r="F499" t="s">
        <v>15</v>
      </c>
      <c r="G499" t="s">
        <v>24</v>
      </c>
      <c r="H499">
        <v>5</v>
      </c>
      <c r="I499" s="3">
        <v>100</v>
      </c>
      <c r="J499" s="3">
        <v>500</v>
      </c>
      <c r="K499" t="s">
        <v>32</v>
      </c>
      <c r="L499" t="s">
        <v>20</v>
      </c>
    </row>
    <row r="500" spans="1:12" x14ac:dyDescent="0.3">
      <c r="A500">
        <v>11189</v>
      </c>
      <c r="B500" s="2">
        <v>45451</v>
      </c>
      <c r="C500" t="s">
        <v>21</v>
      </c>
      <c r="D500" t="s">
        <v>22</v>
      </c>
      <c r="E500" t="s">
        <v>14</v>
      </c>
      <c r="F500" t="s">
        <v>15</v>
      </c>
      <c r="G500" t="s">
        <v>24</v>
      </c>
      <c r="H500">
        <v>2</v>
      </c>
      <c r="I500" s="3">
        <v>148</v>
      </c>
      <c r="J500" s="3">
        <v>296</v>
      </c>
      <c r="K500" t="s">
        <v>17</v>
      </c>
      <c r="L500" t="s">
        <v>18</v>
      </c>
    </row>
    <row r="501" spans="1:12" x14ac:dyDescent="0.3">
      <c r="A501">
        <v>10027</v>
      </c>
      <c r="B501" s="2">
        <v>45452</v>
      </c>
      <c r="C501" t="s">
        <v>40</v>
      </c>
      <c r="D501" t="s">
        <v>31</v>
      </c>
      <c r="E501" t="s">
        <v>23</v>
      </c>
      <c r="F501" t="s">
        <v>38</v>
      </c>
      <c r="G501" t="s">
        <v>41</v>
      </c>
      <c r="H501">
        <v>1</v>
      </c>
      <c r="I501" s="3">
        <v>35</v>
      </c>
      <c r="J501" s="3">
        <v>35</v>
      </c>
      <c r="K501" t="s">
        <v>17</v>
      </c>
      <c r="L501" t="s">
        <v>20</v>
      </c>
    </row>
    <row r="502" spans="1:12" x14ac:dyDescent="0.3">
      <c r="A502">
        <v>10308</v>
      </c>
      <c r="B502" s="2">
        <v>45452</v>
      </c>
      <c r="C502" t="s">
        <v>37</v>
      </c>
      <c r="D502" t="s">
        <v>26</v>
      </c>
      <c r="E502" t="s">
        <v>14</v>
      </c>
      <c r="F502" t="s">
        <v>28</v>
      </c>
      <c r="G502" t="s">
        <v>36</v>
      </c>
      <c r="H502">
        <v>1</v>
      </c>
      <c r="I502" s="3">
        <v>46</v>
      </c>
      <c r="J502" s="3">
        <v>46</v>
      </c>
      <c r="K502" t="s">
        <v>30</v>
      </c>
      <c r="L502" t="s">
        <v>20</v>
      </c>
    </row>
    <row r="503" spans="1:12" x14ac:dyDescent="0.3">
      <c r="A503">
        <v>10970</v>
      </c>
      <c r="B503" s="2">
        <v>45453</v>
      </c>
      <c r="C503" t="s">
        <v>12</v>
      </c>
      <c r="D503" t="s">
        <v>26</v>
      </c>
      <c r="E503" t="s">
        <v>14</v>
      </c>
      <c r="F503" t="s">
        <v>28</v>
      </c>
      <c r="G503" t="s">
        <v>29</v>
      </c>
      <c r="H503">
        <v>1</v>
      </c>
      <c r="I503" s="3">
        <v>137</v>
      </c>
      <c r="J503" s="3">
        <v>137</v>
      </c>
      <c r="K503" t="s">
        <v>30</v>
      </c>
      <c r="L503" t="s">
        <v>27</v>
      </c>
    </row>
    <row r="504" spans="1:12" x14ac:dyDescent="0.3">
      <c r="A504">
        <v>10571</v>
      </c>
      <c r="B504" s="2">
        <v>45454</v>
      </c>
      <c r="C504" t="s">
        <v>12</v>
      </c>
      <c r="D504" t="s">
        <v>31</v>
      </c>
      <c r="E504" t="s">
        <v>23</v>
      </c>
      <c r="F504" t="s">
        <v>15</v>
      </c>
      <c r="G504" t="s">
        <v>24</v>
      </c>
      <c r="H504">
        <v>1</v>
      </c>
      <c r="I504" s="3">
        <v>67</v>
      </c>
      <c r="J504" s="3">
        <v>67</v>
      </c>
      <c r="K504" t="s">
        <v>30</v>
      </c>
      <c r="L504" t="s">
        <v>27</v>
      </c>
    </row>
    <row r="505" spans="1:12" x14ac:dyDescent="0.3">
      <c r="A505">
        <v>10746</v>
      </c>
      <c r="B505" s="2">
        <v>45454</v>
      </c>
      <c r="C505" t="s">
        <v>21</v>
      </c>
      <c r="D505" t="s">
        <v>22</v>
      </c>
      <c r="E505" t="s">
        <v>23</v>
      </c>
      <c r="F505" t="s">
        <v>15</v>
      </c>
      <c r="G505" t="s">
        <v>19</v>
      </c>
      <c r="H505">
        <v>5</v>
      </c>
      <c r="I505" s="3">
        <v>25</v>
      </c>
      <c r="J505" s="3">
        <v>125</v>
      </c>
      <c r="K505" t="s">
        <v>35</v>
      </c>
      <c r="L505" t="s">
        <v>18</v>
      </c>
    </row>
    <row r="506" spans="1:12" x14ac:dyDescent="0.3">
      <c r="A506">
        <v>10889</v>
      </c>
      <c r="B506" s="2">
        <v>45454</v>
      </c>
      <c r="C506" t="s">
        <v>21</v>
      </c>
      <c r="D506" t="s">
        <v>13</v>
      </c>
      <c r="E506" t="s">
        <v>14</v>
      </c>
      <c r="F506" t="s">
        <v>28</v>
      </c>
      <c r="G506" t="s">
        <v>36</v>
      </c>
      <c r="H506">
        <v>4</v>
      </c>
      <c r="I506" s="3">
        <v>115</v>
      </c>
      <c r="J506" s="3">
        <v>460</v>
      </c>
      <c r="K506" t="s">
        <v>17</v>
      </c>
      <c r="L506" t="s">
        <v>20</v>
      </c>
    </row>
    <row r="507" spans="1:12" x14ac:dyDescent="0.3">
      <c r="A507">
        <v>11121</v>
      </c>
      <c r="B507" s="2">
        <v>45454</v>
      </c>
      <c r="C507" t="s">
        <v>37</v>
      </c>
      <c r="D507" t="s">
        <v>13</v>
      </c>
      <c r="E507" t="s">
        <v>14</v>
      </c>
      <c r="F507" t="s">
        <v>15</v>
      </c>
      <c r="G507" t="s">
        <v>24</v>
      </c>
      <c r="H507">
        <v>4</v>
      </c>
      <c r="I507" s="3">
        <v>131</v>
      </c>
      <c r="J507" s="3">
        <v>524</v>
      </c>
      <c r="K507" t="s">
        <v>25</v>
      </c>
      <c r="L507" t="s">
        <v>27</v>
      </c>
    </row>
    <row r="508" spans="1:12" x14ac:dyDescent="0.3">
      <c r="A508">
        <v>11053</v>
      </c>
      <c r="B508" s="2">
        <v>45455</v>
      </c>
      <c r="C508" t="s">
        <v>21</v>
      </c>
      <c r="D508" t="s">
        <v>42</v>
      </c>
      <c r="E508" t="s">
        <v>23</v>
      </c>
      <c r="F508" t="s">
        <v>28</v>
      </c>
      <c r="G508" t="s">
        <v>34</v>
      </c>
      <c r="H508">
        <v>4</v>
      </c>
      <c r="I508" s="3">
        <v>110</v>
      </c>
      <c r="J508" s="3">
        <v>440</v>
      </c>
      <c r="K508" t="s">
        <v>30</v>
      </c>
      <c r="L508" t="s">
        <v>33</v>
      </c>
    </row>
    <row r="509" spans="1:12" x14ac:dyDescent="0.3">
      <c r="A509">
        <v>11115</v>
      </c>
      <c r="B509" s="2">
        <v>45455</v>
      </c>
      <c r="C509" t="s">
        <v>40</v>
      </c>
      <c r="D509" t="s">
        <v>22</v>
      </c>
      <c r="E509" t="s">
        <v>23</v>
      </c>
      <c r="F509" t="s">
        <v>38</v>
      </c>
      <c r="G509" t="s">
        <v>39</v>
      </c>
      <c r="H509">
        <v>5</v>
      </c>
      <c r="I509" s="3">
        <v>89</v>
      </c>
      <c r="J509" s="3">
        <v>445</v>
      </c>
      <c r="K509" t="s">
        <v>30</v>
      </c>
      <c r="L509" t="s">
        <v>20</v>
      </c>
    </row>
    <row r="510" spans="1:12" x14ac:dyDescent="0.3">
      <c r="A510">
        <v>10097</v>
      </c>
      <c r="B510" s="2">
        <v>45456</v>
      </c>
      <c r="C510" t="s">
        <v>12</v>
      </c>
      <c r="D510" t="s">
        <v>13</v>
      </c>
      <c r="E510" t="s">
        <v>23</v>
      </c>
      <c r="F510" t="s">
        <v>15</v>
      </c>
      <c r="G510" t="s">
        <v>24</v>
      </c>
      <c r="H510">
        <v>4</v>
      </c>
      <c r="I510" s="3">
        <v>136</v>
      </c>
      <c r="J510" s="3">
        <v>544</v>
      </c>
      <c r="K510" t="s">
        <v>32</v>
      </c>
      <c r="L510" t="s">
        <v>27</v>
      </c>
    </row>
    <row r="511" spans="1:12" x14ac:dyDescent="0.3">
      <c r="A511">
        <v>10177</v>
      </c>
      <c r="B511" s="2">
        <v>45456</v>
      </c>
      <c r="C511" t="s">
        <v>40</v>
      </c>
      <c r="D511" t="s">
        <v>31</v>
      </c>
      <c r="E511" t="s">
        <v>23</v>
      </c>
      <c r="F511" t="s">
        <v>15</v>
      </c>
      <c r="G511" t="s">
        <v>16</v>
      </c>
      <c r="H511">
        <v>5</v>
      </c>
      <c r="I511" s="3">
        <v>95</v>
      </c>
      <c r="J511" s="3">
        <v>475</v>
      </c>
      <c r="K511" t="s">
        <v>35</v>
      </c>
      <c r="L511" t="s">
        <v>33</v>
      </c>
    </row>
    <row r="512" spans="1:12" x14ac:dyDescent="0.3">
      <c r="A512">
        <v>10271</v>
      </c>
      <c r="B512" s="2">
        <v>45456</v>
      </c>
      <c r="C512" t="s">
        <v>12</v>
      </c>
      <c r="D512" t="s">
        <v>42</v>
      </c>
      <c r="E512" t="s">
        <v>23</v>
      </c>
      <c r="F512" t="s">
        <v>15</v>
      </c>
      <c r="G512" t="s">
        <v>24</v>
      </c>
      <c r="H512">
        <v>2</v>
      </c>
      <c r="I512" s="3">
        <v>96</v>
      </c>
      <c r="J512" s="3">
        <v>192</v>
      </c>
      <c r="K512" t="s">
        <v>32</v>
      </c>
      <c r="L512" t="s">
        <v>27</v>
      </c>
    </row>
    <row r="513" spans="1:12" x14ac:dyDescent="0.3">
      <c r="A513">
        <v>10325</v>
      </c>
      <c r="B513" s="2">
        <v>45456</v>
      </c>
      <c r="C513" t="s">
        <v>12</v>
      </c>
      <c r="D513" t="s">
        <v>42</v>
      </c>
      <c r="E513" t="s">
        <v>23</v>
      </c>
      <c r="F513" t="s">
        <v>15</v>
      </c>
      <c r="G513" t="s">
        <v>24</v>
      </c>
      <c r="H513">
        <v>4</v>
      </c>
      <c r="I513" s="3">
        <v>77</v>
      </c>
      <c r="J513" s="3">
        <v>308</v>
      </c>
      <c r="K513" t="s">
        <v>35</v>
      </c>
      <c r="L513" t="s">
        <v>18</v>
      </c>
    </row>
    <row r="514" spans="1:12" x14ac:dyDescent="0.3">
      <c r="A514">
        <v>10607</v>
      </c>
      <c r="B514" s="2">
        <v>45456</v>
      </c>
      <c r="C514" t="s">
        <v>12</v>
      </c>
      <c r="D514" t="s">
        <v>13</v>
      </c>
      <c r="E514" t="s">
        <v>23</v>
      </c>
      <c r="F514" t="s">
        <v>28</v>
      </c>
      <c r="G514" t="s">
        <v>36</v>
      </c>
      <c r="H514">
        <v>3</v>
      </c>
      <c r="I514" s="3">
        <v>73</v>
      </c>
      <c r="J514" s="3">
        <v>219</v>
      </c>
      <c r="K514" t="s">
        <v>35</v>
      </c>
      <c r="L514" t="s">
        <v>33</v>
      </c>
    </row>
    <row r="515" spans="1:12" x14ac:dyDescent="0.3">
      <c r="A515">
        <v>10892</v>
      </c>
      <c r="B515" s="2">
        <v>45456</v>
      </c>
      <c r="C515" t="s">
        <v>37</v>
      </c>
      <c r="D515" t="s">
        <v>22</v>
      </c>
      <c r="E515" t="s">
        <v>23</v>
      </c>
      <c r="F515" t="s">
        <v>38</v>
      </c>
      <c r="G515" t="s">
        <v>43</v>
      </c>
      <c r="H515">
        <v>4</v>
      </c>
      <c r="I515" s="3">
        <v>65</v>
      </c>
      <c r="J515" s="3">
        <v>260</v>
      </c>
      <c r="K515" t="s">
        <v>30</v>
      </c>
      <c r="L515" t="s">
        <v>27</v>
      </c>
    </row>
    <row r="516" spans="1:12" x14ac:dyDescent="0.3">
      <c r="A516">
        <v>11131</v>
      </c>
      <c r="B516" s="2">
        <v>45456</v>
      </c>
      <c r="C516" t="s">
        <v>21</v>
      </c>
      <c r="D516" t="s">
        <v>13</v>
      </c>
      <c r="E516" t="s">
        <v>14</v>
      </c>
      <c r="F516" t="s">
        <v>15</v>
      </c>
      <c r="G516" t="s">
        <v>19</v>
      </c>
      <c r="H516">
        <v>4</v>
      </c>
      <c r="I516" s="3">
        <v>91</v>
      </c>
      <c r="J516" s="3">
        <v>364</v>
      </c>
      <c r="K516" t="s">
        <v>35</v>
      </c>
      <c r="L516" t="s">
        <v>33</v>
      </c>
    </row>
    <row r="517" spans="1:12" x14ac:dyDescent="0.3">
      <c r="A517">
        <v>10789</v>
      </c>
      <c r="B517" s="2">
        <v>45457</v>
      </c>
      <c r="C517" t="s">
        <v>12</v>
      </c>
      <c r="D517" t="s">
        <v>31</v>
      </c>
      <c r="E517" t="s">
        <v>14</v>
      </c>
      <c r="F517" t="s">
        <v>38</v>
      </c>
      <c r="G517" t="s">
        <v>39</v>
      </c>
      <c r="H517">
        <v>5</v>
      </c>
      <c r="I517" s="3">
        <v>47</v>
      </c>
      <c r="J517" s="3">
        <v>235</v>
      </c>
      <c r="K517" t="s">
        <v>30</v>
      </c>
      <c r="L517" t="s">
        <v>27</v>
      </c>
    </row>
    <row r="518" spans="1:12" x14ac:dyDescent="0.3">
      <c r="A518">
        <v>11127</v>
      </c>
      <c r="B518" s="2">
        <v>45457</v>
      </c>
      <c r="C518" t="s">
        <v>21</v>
      </c>
      <c r="D518" t="s">
        <v>13</v>
      </c>
      <c r="E518" t="s">
        <v>14</v>
      </c>
      <c r="F518" t="s">
        <v>28</v>
      </c>
      <c r="G518" t="s">
        <v>34</v>
      </c>
      <c r="H518">
        <v>2</v>
      </c>
      <c r="I518" s="3">
        <v>46</v>
      </c>
      <c r="J518" s="3">
        <v>92</v>
      </c>
      <c r="K518" t="s">
        <v>25</v>
      </c>
      <c r="L518" t="s">
        <v>20</v>
      </c>
    </row>
    <row r="519" spans="1:12" x14ac:dyDescent="0.3">
      <c r="A519">
        <v>10272</v>
      </c>
      <c r="B519" s="2">
        <v>45458</v>
      </c>
      <c r="C519" t="s">
        <v>21</v>
      </c>
      <c r="D519" t="s">
        <v>26</v>
      </c>
      <c r="E519" t="s">
        <v>23</v>
      </c>
      <c r="F519" t="s">
        <v>38</v>
      </c>
      <c r="G519" t="s">
        <v>39</v>
      </c>
      <c r="H519">
        <v>4</v>
      </c>
      <c r="I519" s="3">
        <v>82</v>
      </c>
      <c r="J519" s="3">
        <v>328</v>
      </c>
      <c r="K519" t="s">
        <v>35</v>
      </c>
      <c r="L519" t="s">
        <v>18</v>
      </c>
    </row>
    <row r="520" spans="1:12" x14ac:dyDescent="0.3">
      <c r="A520">
        <v>10904</v>
      </c>
      <c r="B520" s="2">
        <v>45458</v>
      </c>
      <c r="C520" t="s">
        <v>40</v>
      </c>
      <c r="D520" t="s">
        <v>22</v>
      </c>
      <c r="E520" t="s">
        <v>14</v>
      </c>
      <c r="F520" t="s">
        <v>38</v>
      </c>
      <c r="G520" t="s">
        <v>39</v>
      </c>
      <c r="H520">
        <v>4</v>
      </c>
      <c r="I520" s="3">
        <v>96</v>
      </c>
      <c r="J520" s="3">
        <v>384</v>
      </c>
      <c r="K520" t="s">
        <v>32</v>
      </c>
      <c r="L520" t="s">
        <v>20</v>
      </c>
    </row>
    <row r="521" spans="1:12" x14ac:dyDescent="0.3">
      <c r="A521">
        <v>10916</v>
      </c>
      <c r="B521" s="2">
        <v>45458</v>
      </c>
      <c r="C521" t="s">
        <v>21</v>
      </c>
      <c r="D521" t="s">
        <v>42</v>
      </c>
      <c r="E521" t="s">
        <v>14</v>
      </c>
      <c r="F521" t="s">
        <v>38</v>
      </c>
      <c r="G521" t="s">
        <v>41</v>
      </c>
      <c r="H521">
        <v>1</v>
      </c>
      <c r="I521" s="3">
        <v>149</v>
      </c>
      <c r="J521" s="3">
        <v>149</v>
      </c>
      <c r="K521" t="s">
        <v>35</v>
      </c>
      <c r="L521" t="s">
        <v>20</v>
      </c>
    </row>
    <row r="522" spans="1:12" x14ac:dyDescent="0.3">
      <c r="A522">
        <v>11014</v>
      </c>
      <c r="B522" s="2">
        <v>45458</v>
      </c>
      <c r="C522" t="s">
        <v>21</v>
      </c>
      <c r="D522" t="s">
        <v>22</v>
      </c>
      <c r="E522" t="s">
        <v>23</v>
      </c>
      <c r="F522" t="s">
        <v>38</v>
      </c>
      <c r="G522" t="s">
        <v>43</v>
      </c>
      <c r="H522">
        <v>4</v>
      </c>
      <c r="I522" s="3">
        <v>52</v>
      </c>
      <c r="J522" s="3">
        <v>208</v>
      </c>
      <c r="K522" t="s">
        <v>32</v>
      </c>
      <c r="L522" t="s">
        <v>18</v>
      </c>
    </row>
    <row r="523" spans="1:12" x14ac:dyDescent="0.3">
      <c r="A523">
        <v>11035</v>
      </c>
      <c r="B523" s="2">
        <v>45458</v>
      </c>
      <c r="C523" t="s">
        <v>40</v>
      </c>
      <c r="D523" t="s">
        <v>22</v>
      </c>
      <c r="E523" t="s">
        <v>23</v>
      </c>
      <c r="F523" t="s">
        <v>28</v>
      </c>
      <c r="G523" t="s">
        <v>36</v>
      </c>
      <c r="H523">
        <v>3</v>
      </c>
      <c r="I523" s="3">
        <v>114</v>
      </c>
      <c r="J523" s="3">
        <v>342</v>
      </c>
      <c r="K523" t="s">
        <v>32</v>
      </c>
      <c r="L523" t="s">
        <v>27</v>
      </c>
    </row>
    <row r="524" spans="1:12" x14ac:dyDescent="0.3">
      <c r="A524">
        <v>10552</v>
      </c>
      <c r="B524" s="2">
        <v>45459</v>
      </c>
      <c r="C524" t="s">
        <v>12</v>
      </c>
      <c r="D524" t="s">
        <v>13</v>
      </c>
      <c r="E524" t="s">
        <v>14</v>
      </c>
      <c r="F524" t="s">
        <v>38</v>
      </c>
      <c r="G524" t="s">
        <v>43</v>
      </c>
      <c r="H524">
        <v>5</v>
      </c>
      <c r="I524" s="3">
        <v>58</v>
      </c>
      <c r="J524" s="3">
        <v>290</v>
      </c>
      <c r="K524" t="s">
        <v>30</v>
      </c>
      <c r="L524" t="s">
        <v>27</v>
      </c>
    </row>
    <row r="525" spans="1:12" x14ac:dyDescent="0.3">
      <c r="A525">
        <v>10925</v>
      </c>
      <c r="B525" s="2">
        <v>45459</v>
      </c>
      <c r="C525" t="s">
        <v>37</v>
      </c>
      <c r="D525" t="s">
        <v>22</v>
      </c>
      <c r="E525" t="s">
        <v>14</v>
      </c>
      <c r="F525" t="s">
        <v>28</v>
      </c>
      <c r="G525" t="s">
        <v>29</v>
      </c>
      <c r="H525">
        <v>5</v>
      </c>
      <c r="I525" s="3">
        <v>47</v>
      </c>
      <c r="J525" s="3">
        <v>235</v>
      </c>
      <c r="K525" t="s">
        <v>17</v>
      </c>
      <c r="L525" t="s">
        <v>20</v>
      </c>
    </row>
    <row r="526" spans="1:12" x14ac:dyDescent="0.3">
      <c r="A526">
        <v>10790</v>
      </c>
      <c r="B526" s="2">
        <v>45460</v>
      </c>
      <c r="C526" t="s">
        <v>40</v>
      </c>
      <c r="D526" t="s">
        <v>22</v>
      </c>
      <c r="E526" t="s">
        <v>23</v>
      </c>
      <c r="F526" t="s">
        <v>38</v>
      </c>
      <c r="G526" t="s">
        <v>43</v>
      </c>
      <c r="H526">
        <v>3</v>
      </c>
      <c r="I526" s="3">
        <v>21</v>
      </c>
      <c r="J526" s="3">
        <v>63</v>
      </c>
      <c r="K526" t="s">
        <v>35</v>
      </c>
      <c r="L526" t="s">
        <v>20</v>
      </c>
    </row>
    <row r="527" spans="1:12" x14ac:dyDescent="0.3">
      <c r="A527">
        <v>11081</v>
      </c>
      <c r="B527" s="2">
        <v>45460</v>
      </c>
      <c r="C527" t="s">
        <v>40</v>
      </c>
      <c r="D527" t="s">
        <v>26</v>
      </c>
      <c r="E527" t="s">
        <v>23</v>
      </c>
      <c r="F527" t="s">
        <v>38</v>
      </c>
      <c r="G527" t="s">
        <v>39</v>
      </c>
      <c r="H527">
        <v>2</v>
      </c>
      <c r="I527" s="3">
        <v>122</v>
      </c>
      <c r="J527" s="3">
        <v>244</v>
      </c>
      <c r="K527" t="s">
        <v>17</v>
      </c>
      <c r="L527" t="s">
        <v>27</v>
      </c>
    </row>
    <row r="528" spans="1:12" x14ac:dyDescent="0.3">
      <c r="A528">
        <v>10391</v>
      </c>
      <c r="B528" s="2">
        <v>45461</v>
      </c>
      <c r="C528" t="s">
        <v>37</v>
      </c>
      <c r="D528" t="s">
        <v>26</v>
      </c>
      <c r="E528" t="s">
        <v>23</v>
      </c>
      <c r="F528" t="s">
        <v>28</v>
      </c>
      <c r="G528" t="s">
        <v>36</v>
      </c>
      <c r="H528">
        <v>3</v>
      </c>
      <c r="I528" s="3">
        <v>127</v>
      </c>
      <c r="J528" s="3">
        <v>381</v>
      </c>
      <c r="K528" t="s">
        <v>30</v>
      </c>
      <c r="L528" t="s">
        <v>18</v>
      </c>
    </row>
    <row r="529" spans="1:12" x14ac:dyDescent="0.3">
      <c r="A529">
        <v>10419</v>
      </c>
      <c r="B529" s="2">
        <v>45461</v>
      </c>
      <c r="C529" t="s">
        <v>21</v>
      </c>
      <c r="D529" t="s">
        <v>26</v>
      </c>
      <c r="E529" t="s">
        <v>23</v>
      </c>
      <c r="F529" t="s">
        <v>38</v>
      </c>
      <c r="G529" t="s">
        <v>41</v>
      </c>
      <c r="H529">
        <v>2</v>
      </c>
      <c r="I529" s="3">
        <v>136</v>
      </c>
      <c r="J529" s="3">
        <v>272</v>
      </c>
      <c r="K529" t="s">
        <v>25</v>
      </c>
      <c r="L529" t="s">
        <v>18</v>
      </c>
    </row>
    <row r="530" spans="1:12" x14ac:dyDescent="0.3">
      <c r="A530">
        <v>10452</v>
      </c>
      <c r="B530" s="2">
        <v>45461</v>
      </c>
      <c r="C530" t="s">
        <v>37</v>
      </c>
      <c r="D530" t="s">
        <v>13</v>
      </c>
      <c r="E530" t="s">
        <v>14</v>
      </c>
      <c r="F530" t="s">
        <v>38</v>
      </c>
      <c r="G530" t="s">
        <v>41</v>
      </c>
      <c r="H530">
        <v>2</v>
      </c>
      <c r="I530" s="3">
        <v>144</v>
      </c>
      <c r="J530" s="3">
        <v>288</v>
      </c>
      <c r="K530" t="s">
        <v>25</v>
      </c>
      <c r="L530" t="s">
        <v>33</v>
      </c>
    </row>
    <row r="531" spans="1:12" x14ac:dyDescent="0.3">
      <c r="A531">
        <v>10589</v>
      </c>
      <c r="B531" s="2">
        <v>45461</v>
      </c>
      <c r="C531" t="s">
        <v>40</v>
      </c>
      <c r="D531" t="s">
        <v>31</v>
      </c>
      <c r="E531" t="s">
        <v>14</v>
      </c>
      <c r="F531" t="s">
        <v>28</v>
      </c>
      <c r="G531" t="s">
        <v>34</v>
      </c>
      <c r="H531">
        <v>5</v>
      </c>
      <c r="I531" s="3">
        <v>96</v>
      </c>
      <c r="J531" s="3">
        <v>480</v>
      </c>
      <c r="K531" t="s">
        <v>30</v>
      </c>
      <c r="L531" t="s">
        <v>20</v>
      </c>
    </row>
    <row r="532" spans="1:12" x14ac:dyDescent="0.3">
      <c r="A532">
        <v>10958</v>
      </c>
      <c r="B532" s="2">
        <v>45461</v>
      </c>
      <c r="C532" t="s">
        <v>40</v>
      </c>
      <c r="D532" t="s">
        <v>31</v>
      </c>
      <c r="E532" t="s">
        <v>23</v>
      </c>
      <c r="F532" t="s">
        <v>38</v>
      </c>
      <c r="G532" t="s">
        <v>43</v>
      </c>
      <c r="H532">
        <v>1</v>
      </c>
      <c r="I532" s="3">
        <v>111</v>
      </c>
      <c r="J532" s="3">
        <v>111</v>
      </c>
      <c r="K532" t="s">
        <v>30</v>
      </c>
      <c r="L532" t="s">
        <v>20</v>
      </c>
    </row>
    <row r="533" spans="1:12" x14ac:dyDescent="0.3">
      <c r="A533">
        <v>11070</v>
      </c>
      <c r="B533" s="2">
        <v>45461</v>
      </c>
      <c r="C533" t="s">
        <v>21</v>
      </c>
      <c r="D533" t="s">
        <v>22</v>
      </c>
      <c r="E533" t="s">
        <v>14</v>
      </c>
      <c r="F533" t="s">
        <v>15</v>
      </c>
      <c r="G533" t="s">
        <v>19</v>
      </c>
      <c r="H533">
        <v>2</v>
      </c>
      <c r="I533" s="3">
        <v>44</v>
      </c>
      <c r="J533" s="3">
        <v>88</v>
      </c>
      <c r="K533" t="s">
        <v>17</v>
      </c>
      <c r="L533" t="s">
        <v>20</v>
      </c>
    </row>
    <row r="534" spans="1:12" x14ac:dyDescent="0.3">
      <c r="A534">
        <v>10154</v>
      </c>
      <c r="B534" s="2">
        <v>45462</v>
      </c>
      <c r="C534" t="s">
        <v>40</v>
      </c>
      <c r="D534" t="s">
        <v>22</v>
      </c>
      <c r="E534" t="s">
        <v>14</v>
      </c>
      <c r="F534" t="s">
        <v>15</v>
      </c>
      <c r="G534" t="s">
        <v>24</v>
      </c>
      <c r="H534">
        <v>5</v>
      </c>
      <c r="I534" s="3">
        <v>58</v>
      </c>
      <c r="J534" s="3">
        <v>290</v>
      </c>
      <c r="K534" t="s">
        <v>35</v>
      </c>
      <c r="L534" t="s">
        <v>33</v>
      </c>
    </row>
    <row r="535" spans="1:12" x14ac:dyDescent="0.3">
      <c r="A535">
        <v>10270</v>
      </c>
      <c r="B535" s="2">
        <v>45462</v>
      </c>
      <c r="C535" t="s">
        <v>21</v>
      </c>
      <c r="D535" t="s">
        <v>26</v>
      </c>
      <c r="E535" t="s">
        <v>23</v>
      </c>
      <c r="F535" t="s">
        <v>28</v>
      </c>
      <c r="G535" t="s">
        <v>29</v>
      </c>
      <c r="H535">
        <v>1</v>
      </c>
      <c r="I535" s="3">
        <v>121</v>
      </c>
      <c r="J535" s="3">
        <v>121</v>
      </c>
      <c r="K535" t="s">
        <v>35</v>
      </c>
      <c r="L535" t="s">
        <v>27</v>
      </c>
    </row>
    <row r="536" spans="1:12" x14ac:dyDescent="0.3">
      <c r="A536">
        <v>10394</v>
      </c>
      <c r="B536" s="2">
        <v>45462</v>
      </c>
      <c r="C536" t="s">
        <v>12</v>
      </c>
      <c r="D536" t="s">
        <v>26</v>
      </c>
      <c r="E536" t="s">
        <v>14</v>
      </c>
      <c r="F536" t="s">
        <v>15</v>
      </c>
      <c r="G536" t="s">
        <v>16</v>
      </c>
      <c r="H536">
        <v>1</v>
      </c>
      <c r="I536" s="3">
        <v>144</v>
      </c>
      <c r="J536" s="3">
        <v>144</v>
      </c>
      <c r="K536" t="s">
        <v>25</v>
      </c>
      <c r="L536" t="s">
        <v>27</v>
      </c>
    </row>
    <row r="537" spans="1:12" x14ac:dyDescent="0.3">
      <c r="A537">
        <v>10606</v>
      </c>
      <c r="B537" s="2">
        <v>45462</v>
      </c>
      <c r="C537" t="s">
        <v>21</v>
      </c>
      <c r="D537" t="s">
        <v>31</v>
      </c>
      <c r="E537" t="s">
        <v>14</v>
      </c>
      <c r="F537" t="s">
        <v>28</v>
      </c>
      <c r="G537" t="s">
        <v>29</v>
      </c>
      <c r="H537">
        <v>1</v>
      </c>
      <c r="I537" s="3">
        <v>42</v>
      </c>
      <c r="J537" s="3">
        <v>42</v>
      </c>
      <c r="K537" t="s">
        <v>17</v>
      </c>
      <c r="L537" t="s">
        <v>33</v>
      </c>
    </row>
    <row r="538" spans="1:12" x14ac:dyDescent="0.3">
      <c r="A538">
        <v>10994</v>
      </c>
      <c r="B538" s="2">
        <v>45462</v>
      </c>
      <c r="C538" t="s">
        <v>37</v>
      </c>
      <c r="D538" t="s">
        <v>13</v>
      </c>
      <c r="E538" t="s">
        <v>14</v>
      </c>
      <c r="F538" t="s">
        <v>28</v>
      </c>
      <c r="G538" t="s">
        <v>29</v>
      </c>
      <c r="H538">
        <v>1</v>
      </c>
      <c r="I538" s="3">
        <v>112</v>
      </c>
      <c r="J538" s="3">
        <v>112</v>
      </c>
      <c r="K538" t="s">
        <v>35</v>
      </c>
      <c r="L538" t="s">
        <v>18</v>
      </c>
    </row>
    <row r="539" spans="1:12" x14ac:dyDescent="0.3">
      <c r="A539">
        <v>11145</v>
      </c>
      <c r="B539" s="2">
        <v>45462</v>
      </c>
      <c r="C539" t="s">
        <v>21</v>
      </c>
      <c r="D539" t="s">
        <v>13</v>
      </c>
      <c r="E539" t="s">
        <v>14</v>
      </c>
      <c r="F539" t="s">
        <v>15</v>
      </c>
      <c r="G539" t="s">
        <v>16</v>
      </c>
      <c r="H539">
        <v>2</v>
      </c>
      <c r="I539" s="3">
        <v>67</v>
      </c>
      <c r="J539" s="3">
        <v>134</v>
      </c>
      <c r="K539" t="s">
        <v>30</v>
      </c>
      <c r="L539" t="s">
        <v>27</v>
      </c>
    </row>
    <row r="540" spans="1:12" x14ac:dyDescent="0.3">
      <c r="A540">
        <v>10054</v>
      </c>
      <c r="B540" s="2">
        <v>45463</v>
      </c>
      <c r="C540" t="s">
        <v>37</v>
      </c>
      <c r="D540" t="s">
        <v>22</v>
      </c>
      <c r="E540" t="s">
        <v>14</v>
      </c>
      <c r="F540" t="s">
        <v>15</v>
      </c>
      <c r="G540" t="s">
        <v>19</v>
      </c>
      <c r="H540">
        <v>2</v>
      </c>
      <c r="I540" s="3">
        <v>89</v>
      </c>
      <c r="J540" s="3">
        <v>178</v>
      </c>
      <c r="K540" t="s">
        <v>32</v>
      </c>
      <c r="L540" t="s">
        <v>20</v>
      </c>
    </row>
    <row r="541" spans="1:12" x14ac:dyDescent="0.3">
      <c r="A541">
        <v>10687</v>
      </c>
      <c r="B541" s="2">
        <v>45463</v>
      </c>
      <c r="C541" t="s">
        <v>12</v>
      </c>
      <c r="D541" t="s">
        <v>22</v>
      </c>
      <c r="E541" t="s">
        <v>14</v>
      </c>
      <c r="F541" t="s">
        <v>15</v>
      </c>
      <c r="G541" t="s">
        <v>24</v>
      </c>
      <c r="H541">
        <v>2</v>
      </c>
      <c r="I541" s="3">
        <v>55</v>
      </c>
      <c r="J541" s="3">
        <v>110</v>
      </c>
      <c r="K541" t="s">
        <v>30</v>
      </c>
      <c r="L541" t="s">
        <v>20</v>
      </c>
    </row>
    <row r="542" spans="1:12" x14ac:dyDescent="0.3">
      <c r="A542">
        <v>11148</v>
      </c>
      <c r="B542" s="2">
        <v>45463</v>
      </c>
      <c r="C542" t="s">
        <v>21</v>
      </c>
      <c r="D542" t="s">
        <v>42</v>
      </c>
      <c r="E542" t="s">
        <v>23</v>
      </c>
      <c r="F542" t="s">
        <v>28</v>
      </c>
      <c r="G542" t="s">
        <v>34</v>
      </c>
      <c r="H542">
        <v>1</v>
      </c>
      <c r="I542" s="3">
        <v>97</v>
      </c>
      <c r="J542" s="3">
        <v>97</v>
      </c>
      <c r="K542" t="s">
        <v>17</v>
      </c>
      <c r="L542" t="s">
        <v>33</v>
      </c>
    </row>
    <row r="543" spans="1:12" x14ac:dyDescent="0.3">
      <c r="A543">
        <v>10352</v>
      </c>
      <c r="B543" s="2">
        <v>45464</v>
      </c>
      <c r="C543" t="s">
        <v>37</v>
      </c>
      <c r="D543" t="s">
        <v>26</v>
      </c>
      <c r="E543" t="s">
        <v>14</v>
      </c>
      <c r="F543" t="s">
        <v>28</v>
      </c>
      <c r="G543" t="s">
        <v>29</v>
      </c>
      <c r="H543">
        <v>4</v>
      </c>
      <c r="I543" s="3">
        <v>45</v>
      </c>
      <c r="J543" s="3">
        <v>180</v>
      </c>
      <c r="K543" t="s">
        <v>32</v>
      </c>
      <c r="L543" t="s">
        <v>27</v>
      </c>
    </row>
    <row r="544" spans="1:12" x14ac:dyDescent="0.3">
      <c r="A544">
        <v>10543</v>
      </c>
      <c r="B544" s="2">
        <v>45464</v>
      </c>
      <c r="C544" t="s">
        <v>12</v>
      </c>
      <c r="D544" t="s">
        <v>22</v>
      </c>
      <c r="E544" t="s">
        <v>23</v>
      </c>
      <c r="F544" t="s">
        <v>28</v>
      </c>
      <c r="G544" t="s">
        <v>36</v>
      </c>
      <c r="H544">
        <v>4</v>
      </c>
      <c r="I544" s="3">
        <v>149</v>
      </c>
      <c r="J544" s="3">
        <v>596</v>
      </c>
      <c r="K544" t="s">
        <v>35</v>
      </c>
      <c r="L544" t="s">
        <v>33</v>
      </c>
    </row>
    <row r="545" spans="1:12" x14ac:dyDescent="0.3">
      <c r="A545">
        <v>10658</v>
      </c>
      <c r="B545" s="2">
        <v>45464</v>
      </c>
      <c r="C545" t="s">
        <v>40</v>
      </c>
      <c r="D545" t="s">
        <v>42</v>
      </c>
      <c r="E545" t="s">
        <v>14</v>
      </c>
      <c r="F545" t="s">
        <v>28</v>
      </c>
      <c r="G545" t="s">
        <v>34</v>
      </c>
      <c r="H545">
        <v>3</v>
      </c>
      <c r="I545" s="3">
        <v>34</v>
      </c>
      <c r="J545" s="3">
        <v>102</v>
      </c>
      <c r="K545" t="s">
        <v>32</v>
      </c>
      <c r="L545" t="s">
        <v>27</v>
      </c>
    </row>
    <row r="546" spans="1:12" x14ac:dyDescent="0.3">
      <c r="A546">
        <v>10974</v>
      </c>
      <c r="B546" s="2">
        <v>45464</v>
      </c>
      <c r="C546" t="s">
        <v>21</v>
      </c>
      <c r="D546" t="s">
        <v>42</v>
      </c>
      <c r="E546" t="s">
        <v>23</v>
      </c>
      <c r="F546" t="s">
        <v>15</v>
      </c>
      <c r="G546" t="s">
        <v>16</v>
      </c>
      <c r="H546">
        <v>1</v>
      </c>
      <c r="I546" s="3">
        <v>120</v>
      </c>
      <c r="J546" s="3">
        <v>120</v>
      </c>
      <c r="K546" t="s">
        <v>30</v>
      </c>
      <c r="L546" t="s">
        <v>27</v>
      </c>
    </row>
    <row r="547" spans="1:12" x14ac:dyDescent="0.3">
      <c r="A547">
        <v>11124</v>
      </c>
      <c r="B547" s="2">
        <v>45464</v>
      </c>
      <c r="C547" t="s">
        <v>40</v>
      </c>
      <c r="D547" t="s">
        <v>31</v>
      </c>
      <c r="E547" t="s">
        <v>23</v>
      </c>
      <c r="F547" t="s">
        <v>28</v>
      </c>
      <c r="G547" t="s">
        <v>29</v>
      </c>
      <c r="H547">
        <v>1</v>
      </c>
      <c r="I547" s="3">
        <v>30</v>
      </c>
      <c r="J547" s="3">
        <v>30</v>
      </c>
      <c r="K547" t="s">
        <v>25</v>
      </c>
      <c r="L547" t="s">
        <v>27</v>
      </c>
    </row>
    <row r="548" spans="1:12" x14ac:dyDescent="0.3">
      <c r="A548">
        <v>10422</v>
      </c>
      <c r="B548" s="2">
        <v>45465</v>
      </c>
      <c r="C548" t="s">
        <v>40</v>
      </c>
      <c r="D548" t="s">
        <v>42</v>
      </c>
      <c r="E548" t="s">
        <v>14</v>
      </c>
      <c r="F548" t="s">
        <v>38</v>
      </c>
      <c r="G548" t="s">
        <v>41</v>
      </c>
      <c r="H548">
        <v>4</v>
      </c>
      <c r="I548" s="3">
        <v>68</v>
      </c>
      <c r="J548" s="3">
        <v>272</v>
      </c>
      <c r="K548" t="s">
        <v>17</v>
      </c>
      <c r="L548" t="s">
        <v>18</v>
      </c>
    </row>
    <row r="549" spans="1:12" x14ac:dyDescent="0.3">
      <c r="A549">
        <v>10489</v>
      </c>
      <c r="B549" s="2">
        <v>45466</v>
      </c>
      <c r="C549" t="s">
        <v>40</v>
      </c>
      <c r="D549" t="s">
        <v>22</v>
      </c>
      <c r="E549" t="s">
        <v>23</v>
      </c>
      <c r="F549" t="s">
        <v>15</v>
      </c>
      <c r="G549" t="s">
        <v>16</v>
      </c>
      <c r="H549">
        <v>5</v>
      </c>
      <c r="I549" s="3">
        <v>95</v>
      </c>
      <c r="J549" s="3">
        <v>475</v>
      </c>
      <c r="K549" t="s">
        <v>17</v>
      </c>
      <c r="L549" t="s">
        <v>33</v>
      </c>
    </row>
    <row r="550" spans="1:12" x14ac:dyDescent="0.3">
      <c r="A550">
        <v>10880</v>
      </c>
      <c r="B550" s="2">
        <v>45466</v>
      </c>
      <c r="C550" t="s">
        <v>12</v>
      </c>
      <c r="D550" t="s">
        <v>42</v>
      </c>
      <c r="E550" t="s">
        <v>23</v>
      </c>
      <c r="F550" t="s">
        <v>28</v>
      </c>
      <c r="G550" t="s">
        <v>34</v>
      </c>
      <c r="H550">
        <v>2</v>
      </c>
      <c r="I550" s="3">
        <v>37</v>
      </c>
      <c r="J550" s="3">
        <v>74</v>
      </c>
      <c r="K550" t="s">
        <v>17</v>
      </c>
      <c r="L550" t="s">
        <v>33</v>
      </c>
    </row>
    <row r="551" spans="1:12" x14ac:dyDescent="0.3">
      <c r="A551">
        <v>10196</v>
      </c>
      <c r="B551" s="2">
        <v>45468</v>
      </c>
      <c r="C551" t="s">
        <v>21</v>
      </c>
      <c r="D551" t="s">
        <v>13</v>
      </c>
      <c r="E551" t="s">
        <v>23</v>
      </c>
      <c r="F551" t="s">
        <v>15</v>
      </c>
      <c r="G551" t="s">
        <v>16</v>
      </c>
      <c r="H551">
        <v>3</v>
      </c>
      <c r="I551" s="3">
        <v>101</v>
      </c>
      <c r="J551" s="3">
        <v>303</v>
      </c>
      <c r="K551" t="s">
        <v>17</v>
      </c>
      <c r="L551" t="s">
        <v>18</v>
      </c>
    </row>
    <row r="552" spans="1:12" x14ac:dyDescent="0.3">
      <c r="A552">
        <v>10381</v>
      </c>
      <c r="B552" s="2">
        <v>45468</v>
      </c>
      <c r="C552" t="s">
        <v>12</v>
      </c>
      <c r="D552" t="s">
        <v>26</v>
      </c>
      <c r="E552" t="s">
        <v>14</v>
      </c>
      <c r="F552" t="s">
        <v>28</v>
      </c>
      <c r="G552" t="s">
        <v>29</v>
      </c>
      <c r="H552">
        <v>5</v>
      </c>
      <c r="I552" s="3">
        <v>109</v>
      </c>
      <c r="J552" s="3">
        <v>545</v>
      </c>
      <c r="K552" t="s">
        <v>35</v>
      </c>
      <c r="L552" t="s">
        <v>18</v>
      </c>
    </row>
    <row r="553" spans="1:12" x14ac:dyDescent="0.3">
      <c r="A553">
        <v>10505</v>
      </c>
      <c r="B553" s="2">
        <v>45468</v>
      </c>
      <c r="C553" t="s">
        <v>40</v>
      </c>
      <c r="D553" t="s">
        <v>42</v>
      </c>
      <c r="E553" t="s">
        <v>14</v>
      </c>
      <c r="F553" t="s">
        <v>38</v>
      </c>
      <c r="G553" t="s">
        <v>39</v>
      </c>
      <c r="H553">
        <v>5</v>
      </c>
      <c r="I553" s="3">
        <v>85</v>
      </c>
      <c r="J553" s="3">
        <v>425</v>
      </c>
      <c r="K553" t="s">
        <v>35</v>
      </c>
      <c r="L553" t="s">
        <v>20</v>
      </c>
    </row>
    <row r="554" spans="1:12" x14ac:dyDescent="0.3">
      <c r="A554">
        <v>10705</v>
      </c>
      <c r="B554" s="2">
        <v>45468</v>
      </c>
      <c r="C554" t="s">
        <v>37</v>
      </c>
      <c r="D554" t="s">
        <v>26</v>
      </c>
      <c r="E554" t="s">
        <v>23</v>
      </c>
      <c r="F554" t="s">
        <v>38</v>
      </c>
      <c r="G554" t="s">
        <v>39</v>
      </c>
      <c r="H554">
        <v>1</v>
      </c>
      <c r="I554" s="3">
        <v>92</v>
      </c>
      <c r="J554" s="3">
        <v>92</v>
      </c>
      <c r="K554" t="s">
        <v>17</v>
      </c>
      <c r="L554" t="s">
        <v>18</v>
      </c>
    </row>
    <row r="555" spans="1:12" x14ac:dyDescent="0.3">
      <c r="A555">
        <v>11015</v>
      </c>
      <c r="B555" s="2">
        <v>45468</v>
      </c>
      <c r="C555" t="s">
        <v>40</v>
      </c>
      <c r="D555" t="s">
        <v>13</v>
      </c>
      <c r="E555" t="s">
        <v>14</v>
      </c>
      <c r="F555" t="s">
        <v>28</v>
      </c>
      <c r="G555" t="s">
        <v>34</v>
      </c>
      <c r="H555">
        <v>2</v>
      </c>
      <c r="I555" s="3">
        <v>59</v>
      </c>
      <c r="J555" s="3">
        <v>118</v>
      </c>
      <c r="K555" t="s">
        <v>35</v>
      </c>
      <c r="L555" t="s">
        <v>27</v>
      </c>
    </row>
    <row r="556" spans="1:12" x14ac:dyDescent="0.3">
      <c r="A556">
        <v>10414</v>
      </c>
      <c r="B556" s="2">
        <v>45469</v>
      </c>
      <c r="C556" t="s">
        <v>21</v>
      </c>
      <c r="D556" t="s">
        <v>13</v>
      </c>
      <c r="E556" t="s">
        <v>14</v>
      </c>
      <c r="F556" t="s">
        <v>38</v>
      </c>
      <c r="G556" t="s">
        <v>43</v>
      </c>
      <c r="H556">
        <v>2</v>
      </c>
      <c r="I556" s="3">
        <v>143</v>
      </c>
      <c r="J556" s="3">
        <v>286</v>
      </c>
      <c r="K556" t="s">
        <v>25</v>
      </c>
      <c r="L556" t="s">
        <v>20</v>
      </c>
    </row>
    <row r="557" spans="1:12" x14ac:dyDescent="0.3">
      <c r="A557">
        <v>10913</v>
      </c>
      <c r="B557" s="2">
        <v>45469</v>
      </c>
      <c r="C557" t="s">
        <v>37</v>
      </c>
      <c r="D557" t="s">
        <v>42</v>
      </c>
      <c r="E557" t="s">
        <v>14</v>
      </c>
      <c r="F557" t="s">
        <v>15</v>
      </c>
      <c r="G557" t="s">
        <v>16</v>
      </c>
      <c r="H557">
        <v>3</v>
      </c>
      <c r="I557" s="3">
        <v>136</v>
      </c>
      <c r="J557" s="3">
        <v>408</v>
      </c>
      <c r="K557" t="s">
        <v>30</v>
      </c>
      <c r="L557" t="s">
        <v>20</v>
      </c>
    </row>
    <row r="558" spans="1:12" x14ac:dyDescent="0.3">
      <c r="A558">
        <v>11125</v>
      </c>
      <c r="B558" s="2">
        <v>45469</v>
      </c>
      <c r="C558" t="s">
        <v>21</v>
      </c>
      <c r="D558" t="s">
        <v>31</v>
      </c>
      <c r="E558" t="s">
        <v>23</v>
      </c>
      <c r="F558" t="s">
        <v>15</v>
      </c>
      <c r="G558" t="s">
        <v>19</v>
      </c>
      <c r="H558">
        <v>3</v>
      </c>
      <c r="I558" s="3">
        <v>101</v>
      </c>
      <c r="J558" s="3">
        <v>303</v>
      </c>
      <c r="K558" t="s">
        <v>30</v>
      </c>
      <c r="L558" t="s">
        <v>18</v>
      </c>
    </row>
    <row r="559" spans="1:12" x14ac:dyDescent="0.3">
      <c r="A559">
        <v>11050</v>
      </c>
      <c r="B559" s="2">
        <v>45470</v>
      </c>
      <c r="C559" t="s">
        <v>40</v>
      </c>
      <c r="D559" t="s">
        <v>26</v>
      </c>
      <c r="E559" t="s">
        <v>23</v>
      </c>
      <c r="F559" t="s">
        <v>15</v>
      </c>
      <c r="G559" t="s">
        <v>24</v>
      </c>
      <c r="H559">
        <v>3</v>
      </c>
      <c r="I559" s="3">
        <v>93</v>
      </c>
      <c r="J559" s="3">
        <v>279</v>
      </c>
      <c r="K559" t="s">
        <v>35</v>
      </c>
      <c r="L559" t="s">
        <v>33</v>
      </c>
    </row>
    <row r="560" spans="1:12" x14ac:dyDescent="0.3">
      <c r="A560">
        <v>10041</v>
      </c>
      <c r="B560" s="2">
        <v>45471</v>
      </c>
      <c r="C560" t="s">
        <v>21</v>
      </c>
      <c r="D560" t="s">
        <v>22</v>
      </c>
      <c r="E560" t="s">
        <v>23</v>
      </c>
      <c r="F560" t="s">
        <v>38</v>
      </c>
      <c r="G560" t="s">
        <v>39</v>
      </c>
      <c r="H560">
        <v>1</v>
      </c>
      <c r="I560" s="3">
        <v>91</v>
      </c>
      <c r="J560" s="3">
        <v>91</v>
      </c>
      <c r="K560" t="s">
        <v>25</v>
      </c>
      <c r="L560" t="s">
        <v>18</v>
      </c>
    </row>
    <row r="561" spans="1:12" x14ac:dyDescent="0.3">
      <c r="A561">
        <v>10831</v>
      </c>
      <c r="B561" s="2">
        <v>45471</v>
      </c>
      <c r="C561" t="s">
        <v>37</v>
      </c>
      <c r="D561" t="s">
        <v>26</v>
      </c>
      <c r="E561" t="s">
        <v>14</v>
      </c>
      <c r="F561" t="s">
        <v>38</v>
      </c>
      <c r="G561" t="s">
        <v>39</v>
      </c>
      <c r="H561">
        <v>2</v>
      </c>
      <c r="I561" s="3">
        <v>79</v>
      </c>
      <c r="J561" s="3">
        <v>158</v>
      </c>
      <c r="K561" t="s">
        <v>30</v>
      </c>
      <c r="L561" t="s">
        <v>20</v>
      </c>
    </row>
    <row r="562" spans="1:12" x14ac:dyDescent="0.3">
      <c r="A562">
        <v>10073</v>
      </c>
      <c r="B562" s="2">
        <v>45472</v>
      </c>
      <c r="C562" t="s">
        <v>21</v>
      </c>
      <c r="D562" t="s">
        <v>26</v>
      </c>
      <c r="E562" t="s">
        <v>23</v>
      </c>
      <c r="F562" t="s">
        <v>38</v>
      </c>
      <c r="G562" t="s">
        <v>43</v>
      </c>
      <c r="H562">
        <v>5</v>
      </c>
      <c r="I562" s="3">
        <v>104</v>
      </c>
      <c r="J562" s="3">
        <v>520</v>
      </c>
      <c r="K562" t="s">
        <v>35</v>
      </c>
      <c r="L562" t="s">
        <v>20</v>
      </c>
    </row>
    <row r="563" spans="1:12" x14ac:dyDescent="0.3">
      <c r="A563">
        <v>10486</v>
      </c>
      <c r="B563" s="2">
        <v>45472</v>
      </c>
      <c r="C563" t="s">
        <v>21</v>
      </c>
      <c r="D563" t="s">
        <v>42</v>
      </c>
      <c r="E563" t="s">
        <v>14</v>
      </c>
      <c r="F563" t="s">
        <v>28</v>
      </c>
      <c r="G563" t="s">
        <v>34</v>
      </c>
      <c r="H563">
        <v>3</v>
      </c>
      <c r="I563" s="3">
        <v>122</v>
      </c>
      <c r="J563" s="3">
        <v>366</v>
      </c>
      <c r="K563" t="s">
        <v>17</v>
      </c>
      <c r="L563" t="s">
        <v>18</v>
      </c>
    </row>
    <row r="564" spans="1:12" x14ac:dyDescent="0.3">
      <c r="A564">
        <v>10767</v>
      </c>
      <c r="B564" s="2">
        <v>45472</v>
      </c>
      <c r="C564" t="s">
        <v>21</v>
      </c>
      <c r="D564" t="s">
        <v>22</v>
      </c>
      <c r="E564" t="s">
        <v>23</v>
      </c>
      <c r="F564" t="s">
        <v>15</v>
      </c>
      <c r="G564" t="s">
        <v>19</v>
      </c>
      <c r="H564">
        <v>5</v>
      </c>
      <c r="I564" s="3">
        <v>36</v>
      </c>
      <c r="J564" s="3">
        <v>180</v>
      </c>
      <c r="K564" t="s">
        <v>30</v>
      </c>
      <c r="L564" t="s">
        <v>18</v>
      </c>
    </row>
    <row r="565" spans="1:12" x14ac:dyDescent="0.3">
      <c r="A565">
        <v>10342</v>
      </c>
      <c r="B565" s="2">
        <v>45473</v>
      </c>
      <c r="C565" t="s">
        <v>12</v>
      </c>
      <c r="D565" t="s">
        <v>13</v>
      </c>
      <c r="E565" t="s">
        <v>23</v>
      </c>
      <c r="F565" t="s">
        <v>28</v>
      </c>
      <c r="G565" t="s">
        <v>29</v>
      </c>
      <c r="H565">
        <v>4</v>
      </c>
      <c r="I565" s="3">
        <v>64</v>
      </c>
      <c r="J565" s="3">
        <v>256</v>
      </c>
      <c r="K565" t="s">
        <v>35</v>
      </c>
      <c r="L565" t="s">
        <v>27</v>
      </c>
    </row>
    <row r="566" spans="1:12" x14ac:dyDescent="0.3">
      <c r="A566">
        <v>10420</v>
      </c>
      <c r="B566" s="2">
        <v>45473</v>
      </c>
      <c r="C566" t="s">
        <v>37</v>
      </c>
      <c r="D566" t="s">
        <v>22</v>
      </c>
      <c r="E566" t="s">
        <v>23</v>
      </c>
      <c r="F566" t="s">
        <v>15</v>
      </c>
      <c r="G566" t="s">
        <v>16</v>
      </c>
      <c r="H566">
        <v>1</v>
      </c>
      <c r="I566" s="3">
        <v>107</v>
      </c>
      <c r="J566" s="3">
        <v>107</v>
      </c>
      <c r="K566" t="s">
        <v>25</v>
      </c>
      <c r="L566" t="s">
        <v>18</v>
      </c>
    </row>
    <row r="567" spans="1:12" x14ac:dyDescent="0.3">
      <c r="A567">
        <v>10493</v>
      </c>
      <c r="B567" s="2">
        <v>45473</v>
      </c>
      <c r="C567" t="s">
        <v>12</v>
      </c>
      <c r="D567" t="s">
        <v>22</v>
      </c>
      <c r="E567" t="s">
        <v>23</v>
      </c>
      <c r="F567" t="s">
        <v>15</v>
      </c>
      <c r="G567" t="s">
        <v>16</v>
      </c>
      <c r="H567">
        <v>4</v>
      </c>
      <c r="I567" s="3">
        <v>100</v>
      </c>
      <c r="J567" s="3">
        <v>400</v>
      </c>
      <c r="K567" t="s">
        <v>32</v>
      </c>
      <c r="L567" t="s">
        <v>20</v>
      </c>
    </row>
    <row r="568" spans="1:12" x14ac:dyDescent="0.3">
      <c r="A568">
        <v>10779</v>
      </c>
      <c r="B568" s="2">
        <v>45473</v>
      </c>
      <c r="C568" t="s">
        <v>40</v>
      </c>
      <c r="D568" t="s">
        <v>31</v>
      </c>
      <c r="E568" t="s">
        <v>23</v>
      </c>
      <c r="F568" t="s">
        <v>28</v>
      </c>
      <c r="G568" t="s">
        <v>29</v>
      </c>
      <c r="H568">
        <v>2</v>
      </c>
      <c r="I568" s="3">
        <v>140</v>
      </c>
      <c r="J568" s="3">
        <v>280</v>
      </c>
      <c r="K568" t="s">
        <v>17</v>
      </c>
      <c r="L568" t="s">
        <v>27</v>
      </c>
    </row>
    <row r="569" spans="1:12" x14ac:dyDescent="0.3">
      <c r="A569">
        <v>10799</v>
      </c>
      <c r="B569" s="2">
        <v>45473</v>
      </c>
      <c r="C569" t="s">
        <v>37</v>
      </c>
      <c r="D569" t="s">
        <v>22</v>
      </c>
      <c r="E569" t="s">
        <v>14</v>
      </c>
      <c r="F569" t="s">
        <v>38</v>
      </c>
      <c r="G569" t="s">
        <v>41</v>
      </c>
      <c r="H569">
        <v>4</v>
      </c>
      <c r="I569" s="3">
        <v>84</v>
      </c>
      <c r="J569" s="3">
        <v>336</v>
      </c>
      <c r="K569" t="s">
        <v>17</v>
      </c>
      <c r="L569" t="s">
        <v>18</v>
      </c>
    </row>
    <row r="570" spans="1:12" x14ac:dyDescent="0.3">
      <c r="A570">
        <v>11159</v>
      </c>
      <c r="B570" s="2">
        <v>45473</v>
      </c>
      <c r="C570" t="s">
        <v>12</v>
      </c>
      <c r="D570" t="s">
        <v>42</v>
      </c>
      <c r="E570" t="s">
        <v>23</v>
      </c>
      <c r="F570" t="s">
        <v>38</v>
      </c>
      <c r="G570" t="s">
        <v>41</v>
      </c>
      <c r="H570">
        <v>1</v>
      </c>
      <c r="I570" s="3">
        <v>141</v>
      </c>
      <c r="J570" s="3">
        <v>141</v>
      </c>
      <c r="K570" t="s">
        <v>30</v>
      </c>
      <c r="L570" t="s">
        <v>18</v>
      </c>
    </row>
    <row r="571" spans="1:12" x14ac:dyDescent="0.3">
      <c r="A571">
        <v>11069</v>
      </c>
      <c r="B571" s="2">
        <v>45474</v>
      </c>
      <c r="C571" t="s">
        <v>37</v>
      </c>
      <c r="D571" t="s">
        <v>42</v>
      </c>
      <c r="E571" t="s">
        <v>14</v>
      </c>
      <c r="F571" t="s">
        <v>38</v>
      </c>
      <c r="G571" t="s">
        <v>41</v>
      </c>
      <c r="H571">
        <v>3</v>
      </c>
      <c r="I571" s="3">
        <v>22</v>
      </c>
      <c r="J571" s="3">
        <v>66</v>
      </c>
      <c r="K571" t="s">
        <v>35</v>
      </c>
      <c r="L571" t="s">
        <v>27</v>
      </c>
    </row>
    <row r="572" spans="1:12" x14ac:dyDescent="0.3">
      <c r="A572">
        <v>10122</v>
      </c>
      <c r="B572" s="2">
        <v>45475</v>
      </c>
      <c r="C572" t="s">
        <v>12</v>
      </c>
      <c r="D572" t="s">
        <v>22</v>
      </c>
      <c r="E572" t="s">
        <v>23</v>
      </c>
      <c r="F572" t="s">
        <v>15</v>
      </c>
      <c r="G572" t="s">
        <v>16</v>
      </c>
      <c r="H572">
        <v>2</v>
      </c>
      <c r="I572" s="3">
        <v>23</v>
      </c>
      <c r="J572" s="3">
        <v>46</v>
      </c>
      <c r="K572" t="s">
        <v>25</v>
      </c>
      <c r="L572" t="s">
        <v>20</v>
      </c>
    </row>
    <row r="573" spans="1:12" x14ac:dyDescent="0.3">
      <c r="A573">
        <v>10290</v>
      </c>
      <c r="B573" s="2">
        <v>45475</v>
      </c>
      <c r="C573" t="s">
        <v>40</v>
      </c>
      <c r="D573" t="s">
        <v>42</v>
      </c>
      <c r="E573" t="s">
        <v>14</v>
      </c>
      <c r="F573" t="s">
        <v>38</v>
      </c>
      <c r="G573" t="s">
        <v>39</v>
      </c>
      <c r="H573">
        <v>5</v>
      </c>
      <c r="I573" s="3">
        <v>33</v>
      </c>
      <c r="J573" s="3">
        <v>165</v>
      </c>
      <c r="K573" t="s">
        <v>32</v>
      </c>
      <c r="L573" t="s">
        <v>27</v>
      </c>
    </row>
    <row r="574" spans="1:12" x14ac:dyDescent="0.3">
      <c r="A574">
        <v>10446</v>
      </c>
      <c r="B574" s="2">
        <v>45475</v>
      </c>
      <c r="C574" t="s">
        <v>40</v>
      </c>
      <c r="D574" t="s">
        <v>26</v>
      </c>
      <c r="E574" t="s">
        <v>23</v>
      </c>
      <c r="F574" t="s">
        <v>15</v>
      </c>
      <c r="G574" t="s">
        <v>24</v>
      </c>
      <c r="H574">
        <v>1</v>
      </c>
      <c r="I574" s="3">
        <v>38</v>
      </c>
      <c r="J574" s="3">
        <v>38</v>
      </c>
      <c r="K574" t="s">
        <v>17</v>
      </c>
      <c r="L574" t="s">
        <v>18</v>
      </c>
    </row>
    <row r="575" spans="1:12" x14ac:dyDescent="0.3">
      <c r="A575">
        <v>10314</v>
      </c>
      <c r="B575" s="2">
        <v>45476</v>
      </c>
      <c r="C575" t="s">
        <v>37</v>
      </c>
      <c r="D575" t="s">
        <v>13</v>
      </c>
      <c r="E575" t="s">
        <v>23</v>
      </c>
      <c r="F575" t="s">
        <v>15</v>
      </c>
      <c r="G575" t="s">
        <v>24</v>
      </c>
      <c r="H575">
        <v>1</v>
      </c>
      <c r="I575" s="3">
        <v>23</v>
      </c>
      <c r="J575" s="3">
        <v>23</v>
      </c>
      <c r="K575" t="s">
        <v>17</v>
      </c>
      <c r="L575" t="s">
        <v>27</v>
      </c>
    </row>
    <row r="576" spans="1:12" x14ac:dyDescent="0.3">
      <c r="A576">
        <v>10438</v>
      </c>
      <c r="B576" s="2">
        <v>45476</v>
      </c>
      <c r="C576" t="s">
        <v>37</v>
      </c>
      <c r="D576" t="s">
        <v>13</v>
      </c>
      <c r="E576" t="s">
        <v>23</v>
      </c>
      <c r="F576" t="s">
        <v>28</v>
      </c>
      <c r="G576" t="s">
        <v>34</v>
      </c>
      <c r="H576">
        <v>3</v>
      </c>
      <c r="I576" s="3">
        <v>104</v>
      </c>
      <c r="J576" s="3">
        <v>312</v>
      </c>
      <c r="K576" t="s">
        <v>17</v>
      </c>
      <c r="L576" t="s">
        <v>18</v>
      </c>
    </row>
    <row r="577" spans="1:12" x14ac:dyDescent="0.3">
      <c r="A577">
        <v>10455</v>
      </c>
      <c r="B577" s="2">
        <v>45476</v>
      </c>
      <c r="C577" t="s">
        <v>12</v>
      </c>
      <c r="D577" t="s">
        <v>26</v>
      </c>
      <c r="E577" t="s">
        <v>23</v>
      </c>
      <c r="F577" t="s">
        <v>15</v>
      </c>
      <c r="G577" t="s">
        <v>24</v>
      </c>
      <c r="H577">
        <v>4</v>
      </c>
      <c r="I577" s="3">
        <v>90</v>
      </c>
      <c r="J577" s="3">
        <v>360</v>
      </c>
      <c r="K577" t="s">
        <v>30</v>
      </c>
      <c r="L577" t="s">
        <v>27</v>
      </c>
    </row>
    <row r="578" spans="1:12" x14ac:dyDescent="0.3">
      <c r="A578">
        <v>10527</v>
      </c>
      <c r="B578" s="2">
        <v>45476</v>
      </c>
      <c r="C578" t="s">
        <v>40</v>
      </c>
      <c r="D578" t="s">
        <v>13</v>
      </c>
      <c r="E578" t="s">
        <v>14</v>
      </c>
      <c r="F578" t="s">
        <v>38</v>
      </c>
      <c r="G578" t="s">
        <v>39</v>
      </c>
      <c r="H578">
        <v>3</v>
      </c>
      <c r="I578" s="3">
        <v>70</v>
      </c>
      <c r="J578" s="3">
        <v>210</v>
      </c>
      <c r="K578" t="s">
        <v>32</v>
      </c>
      <c r="L578" t="s">
        <v>27</v>
      </c>
    </row>
    <row r="579" spans="1:12" x14ac:dyDescent="0.3">
      <c r="A579">
        <v>10832</v>
      </c>
      <c r="B579" s="2">
        <v>45476</v>
      </c>
      <c r="C579" t="s">
        <v>21</v>
      </c>
      <c r="D579" t="s">
        <v>31</v>
      </c>
      <c r="E579" t="s">
        <v>14</v>
      </c>
      <c r="F579" t="s">
        <v>28</v>
      </c>
      <c r="G579" t="s">
        <v>29</v>
      </c>
      <c r="H579">
        <v>5</v>
      </c>
      <c r="I579" s="3">
        <v>69</v>
      </c>
      <c r="J579" s="3">
        <v>345</v>
      </c>
      <c r="K579" t="s">
        <v>30</v>
      </c>
      <c r="L579" t="s">
        <v>27</v>
      </c>
    </row>
    <row r="580" spans="1:12" x14ac:dyDescent="0.3">
      <c r="A580">
        <v>11151</v>
      </c>
      <c r="B580" s="2">
        <v>45476</v>
      </c>
      <c r="C580" t="s">
        <v>12</v>
      </c>
      <c r="D580" t="s">
        <v>31</v>
      </c>
      <c r="E580" t="s">
        <v>14</v>
      </c>
      <c r="F580" t="s">
        <v>28</v>
      </c>
      <c r="G580" t="s">
        <v>34</v>
      </c>
      <c r="H580">
        <v>5</v>
      </c>
      <c r="I580" s="3">
        <v>130</v>
      </c>
      <c r="J580" s="3">
        <v>650</v>
      </c>
      <c r="K580" t="s">
        <v>30</v>
      </c>
      <c r="L580" t="s">
        <v>18</v>
      </c>
    </row>
    <row r="581" spans="1:12" x14ac:dyDescent="0.3">
      <c r="A581">
        <v>10202</v>
      </c>
      <c r="B581" s="2">
        <v>45477</v>
      </c>
      <c r="C581" t="s">
        <v>37</v>
      </c>
      <c r="D581" t="s">
        <v>31</v>
      </c>
      <c r="E581" t="s">
        <v>23</v>
      </c>
      <c r="F581" t="s">
        <v>28</v>
      </c>
      <c r="G581" t="s">
        <v>29</v>
      </c>
      <c r="H581">
        <v>1</v>
      </c>
      <c r="I581" s="3">
        <v>69</v>
      </c>
      <c r="J581" s="3">
        <v>69</v>
      </c>
      <c r="K581" t="s">
        <v>17</v>
      </c>
      <c r="L581" t="s">
        <v>27</v>
      </c>
    </row>
    <row r="582" spans="1:12" x14ac:dyDescent="0.3">
      <c r="A582">
        <v>10499</v>
      </c>
      <c r="B582" s="2">
        <v>45477</v>
      </c>
      <c r="C582" t="s">
        <v>37</v>
      </c>
      <c r="D582" t="s">
        <v>13</v>
      </c>
      <c r="E582" t="s">
        <v>23</v>
      </c>
      <c r="F582" t="s">
        <v>38</v>
      </c>
      <c r="G582" t="s">
        <v>43</v>
      </c>
      <c r="H582">
        <v>1</v>
      </c>
      <c r="I582" s="3">
        <v>103</v>
      </c>
      <c r="J582" s="3">
        <v>103</v>
      </c>
      <c r="K582" t="s">
        <v>32</v>
      </c>
      <c r="L582" t="s">
        <v>33</v>
      </c>
    </row>
    <row r="583" spans="1:12" x14ac:dyDescent="0.3">
      <c r="A583">
        <v>10862</v>
      </c>
      <c r="B583" s="2">
        <v>45477</v>
      </c>
      <c r="C583" t="s">
        <v>40</v>
      </c>
      <c r="D583" t="s">
        <v>26</v>
      </c>
      <c r="E583" t="s">
        <v>23</v>
      </c>
      <c r="F583" t="s">
        <v>15</v>
      </c>
      <c r="G583" t="s">
        <v>16</v>
      </c>
      <c r="H583">
        <v>2</v>
      </c>
      <c r="I583" s="3">
        <v>146</v>
      </c>
      <c r="J583" s="3">
        <v>292</v>
      </c>
      <c r="K583" t="s">
        <v>17</v>
      </c>
      <c r="L583" t="s">
        <v>20</v>
      </c>
    </row>
    <row r="584" spans="1:12" x14ac:dyDescent="0.3">
      <c r="A584">
        <v>11107</v>
      </c>
      <c r="B584" s="2">
        <v>45477</v>
      </c>
      <c r="C584" t="s">
        <v>12</v>
      </c>
      <c r="D584" t="s">
        <v>42</v>
      </c>
      <c r="E584" t="s">
        <v>14</v>
      </c>
      <c r="F584" t="s">
        <v>28</v>
      </c>
      <c r="G584" t="s">
        <v>34</v>
      </c>
      <c r="H584">
        <v>1</v>
      </c>
      <c r="I584" s="3">
        <v>146</v>
      </c>
      <c r="J584" s="3">
        <v>146</v>
      </c>
      <c r="K584" t="s">
        <v>30</v>
      </c>
      <c r="L584" t="s">
        <v>18</v>
      </c>
    </row>
    <row r="585" spans="1:12" x14ac:dyDescent="0.3">
      <c r="A585">
        <v>10037</v>
      </c>
      <c r="B585" s="2">
        <v>45478</v>
      </c>
      <c r="C585" t="s">
        <v>40</v>
      </c>
      <c r="D585" t="s">
        <v>26</v>
      </c>
      <c r="E585" t="s">
        <v>14</v>
      </c>
      <c r="F585" t="s">
        <v>38</v>
      </c>
      <c r="G585" t="s">
        <v>41</v>
      </c>
      <c r="H585">
        <v>1</v>
      </c>
      <c r="I585" s="3">
        <v>98</v>
      </c>
      <c r="J585" s="3">
        <v>98</v>
      </c>
      <c r="K585" t="s">
        <v>32</v>
      </c>
      <c r="L585" t="s">
        <v>18</v>
      </c>
    </row>
    <row r="586" spans="1:12" x14ac:dyDescent="0.3">
      <c r="A586">
        <v>10152</v>
      </c>
      <c r="B586" s="2">
        <v>45478</v>
      </c>
      <c r="C586" t="s">
        <v>37</v>
      </c>
      <c r="D586" t="s">
        <v>26</v>
      </c>
      <c r="E586" t="s">
        <v>23</v>
      </c>
      <c r="F586" t="s">
        <v>15</v>
      </c>
      <c r="G586" t="s">
        <v>24</v>
      </c>
      <c r="H586">
        <v>5</v>
      </c>
      <c r="I586" s="3">
        <v>60</v>
      </c>
      <c r="J586" s="3">
        <v>300</v>
      </c>
      <c r="K586" t="s">
        <v>30</v>
      </c>
      <c r="L586" t="s">
        <v>33</v>
      </c>
    </row>
    <row r="587" spans="1:12" x14ac:dyDescent="0.3">
      <c r="A587">
        <v>10557</v>
      </c>
      <c r="B587" s="2">
        <v>45479</v>
      </c>
      <c r="C587" t="s">
        <v>37</v>
      </c>
      <c r="D587" t="s">
        <v>13</v>
      </c>
      <c r="E587" t="s">
        <v>23</v>
      </c>
      <c r="F587" t="s">
        <v>28</v>
      </c>
      <c r="G587" t="s">
        <v>36</v>
      </c>
      <c r="H587">
        <v>4</v>
      </c>
      <c r="I587" s="3">
        <v>128</v>
      </c>
      <c r="J587" s="3">
        <v>512</v>
      </c>
      <c r="K587" t="s">
        <v>35</v>
      </c>
      <c r="L587" t="s">
        <v>18</v>
      </c>
    </row>
    <row r="588" spans="1:12" x14ac:dyDescent="0.3">
      <c r="A588">
        <v>10063</v>
      </c>
      <c r="B588" s="2">
        <v>45480</v>
      </c>
      <c r="C588" t="s">
        <v>12</v>
      </c>
      <c r="D588" t="s">
        <v>22</v>
      </c>
      <c r="E588" t="s">
        <v>14</v>
      </c>
      <c r="F588" t="s">
        <v>15</v>
      </c>
      <c r="G588" t="s">
        <v>16</v>
      </c>
      <c r="H588">
        <v>4</v>
      </c>
      <c r="I588" s="3">
        <v>85</v>
      </c>
      <c r="J588" s="3">
        <v>340</v>
      </c>
      <c r="K588" t="s">
        <v>32</v>
      </c>
      <c r="L588" t="s">
        <v>33</v>
      </c>
    </row>
    <row r="589" spans="1:12" x14ac:dyDescent="0.3">
      <c r="A589">
        <v>10175</v>
      </c>
      <c r="B589" s="2">
        <v>45480</v>
      </c>
      <c r="C589" t="s">
        <v>21</v>
      </c>
      <c r="D589" t="s">
        <v>42</v>
      </c>
      <c r="E589" t="s">
        <v>23</v>
      </c>
      <c r="F589" t="s">
        <v>15</v>
      </c>
      <c r="G589" t="s">
        <v>19</v>
      </c>
      <c r="H589">
        <v>3</v>
      </c>
      <c r="I589" s="3">
        <v>51</v>
      </c>
      <c r="J589" s="3">
        <v>153</v>
      </c>
      <c r="K589" t="s">
        <v>30</v>
      </c>
      <c r="L589" t="s">
        <v>33</v>
      </c>
    </row>
    <row r="590" spans="1:12" x14ac:dyDescent="0.3">
      <c r="A590">
        <v>10247</v>
      </c>
      <c r="B590" s="2">
        <v>45481</v>
      </c>
      <c r="C590" t="s">
        <v>37</v>
      </c>
      <c r="D590" t="s">
        <v>42</v>
      </c>
      <c r="E590" t="s">
        <v>14</v>
      </c>
      <c r="F590" t="s">
        <v>15</v>
      </c>
      <c r="G590" t="s">
        <v>19</v>
      </c>
      <c r="H590">
        <v>3</v>
      </c>
      <c r="I590" s="3">
        <v>72</v>
      </c>
      <c r="J590" s="3">
        <v>216</v>
      </c>
      <c r="K590" t="s">
        <v>17</v>
      </c>
      <c r="L590" t="s">
        <v>20</v>
      </c>
    </row>
    <row r="591" spans="1:12" x14ac:dyDescent="0.3">
      <c r="A591">
        <v>10461</v>
      </c>
      <c r="B591" s="2">
        <v>45481</v>
      </c>
      <c r="C591" t="s">
        <v>12</v>
      </c>
      <c r="D591" t="s">
        <v>31</v>
      </c>
      <c r="E591" t="s">
        <v>14</v>
      </c>
      <c r="F591" t="s">
        <v>38</v>
      </c>
      <c r="G591" t="s">
        <v>41</v>
      </c>
      <c r="H591">
        <v>1</v>
      </c>
      <c r="I591" s="3">
        <v>87</v>
      </c>
      <c r="J591" s="3">
        <v>87</v>
      </c>
      <c r="K591" t="s">
        <v>17</v>
      </c>
      <c r="L591" t="s">
        <v>33</v>
      </c>
    </row>
    <row r="592" spans="1:12" x14ac:dyDescent="0.3">
      <c r="A592">
        <v>10474</v>
      </c>
      <c r="B592" s="2">
        <v>45481</v>
      </c>
      <c r="C592" t="s">
        <v>40</v>
      </c>
      <c r="D592" t="s">
        <v>22</v>
      </c>
      <c r="E592" t="s">
        <v>23</v>
      </c>
      <c r="F592" t="s">
        <v>15</v>
      </c>
      <c r="G592" t="s">
        <v>24</v>
      </c>
      <c r="H592">
        <v>4</v>
      </c>
      <c r="I592" s="3">
        <v>127</v>
      </c>
      <c r="J592" s="3">
        <v>508</v>
      </c>
      <c r="K592" t="s">
        <v>32</v>
      </c>
      <c r="L592" t="s">
        <v>27</v>
      </c>
    </row>
    <row r="593" spans="1:12" x14ac:dyDescent="0.3">
      <c r="A593">
        <v>10957</v>
      </c>
      <c r="B593" s="2">
        <v>45481</v>
      </c>
      <c r="C593" t="s">
        <v>37</v>
      </c>
      <c r="D593" t="s">
        <v>26</v>
      </c>
      <c r="E593" t="s">
        <v>14</v>
      </c>
      <c r="F593" t="s">
        <v>38</v>
      </c>
      <c r="G593" t="s">
        <v>43</v>
      </c>
      <c r="H593">
        <v>4</v>
      </c>
      <c r="I593" s="3">
        <v>106</v>
      </c>
      <c r="J593" s="3">
        <v>424</v>
      </c>
      <c r="K593" t="s">
        <v>35</v>
      </c>
      <c r="L593" t="s">
        <v>27</v>
      </c>
    </row>
    <row r="594" spans="1:12" x14ac:dyDescent="0.3">
      <c r="A594">
        <v>10523</v>
      </c>
      <c r="B594" s="2">
        <v>45482</v>
      </c>
      <c r="C594" t="s">
        <v>21</v>
      </c>
      <c r="D594" t="s">
        <v>31</v>
      </c>
      <c r="E594" t="s">
        <v>23</v>
      </c>
      <c r="F594" t="s">
        <v>38</v>
      </c>
      <c r="G594" t="s">
        <v>39</v>
      </c>
      <c r="H594">
        <v>3</v>
      </c>
      <c r="I594" s="3">
        <v>147</v>
      </c>
      <c r="J594" s="3">
        <v>441</v>
      </c>
      <c r="K594" t="s">
        <v>25</v>
      </c>
      <c r="L594" t="s">
        <v>20</v>
      </c>
    </row>
    <row r="595" spans="1:12" x14ac:dyDescent="0.3">
      <c r="A595">
        <v>10529</v>
      </c>
      <c r="B595" s="2">
        <v>45482</v>
      </c>
      <c r="C595" t="s">
        <v>40</v>
      </c>
      <c r="D595" t="s">
        <v>13</v>
      </c>
      <c r="E595" t="s">
        <v>14</v>
      </c>
      <c r="F595" t="s">
        <v>15</v>
      </c>
      <c r="G595" t="s">
        <v>24</v>
      </c>
      <c r="H595">
        <v>4</v>
      </c>
      <c r="I595" s="3">
        <v>59</v>
      </c>
      <c r="J595" s="3">
        <v>236</v>
      </c>
      <c r="K595" t="s">
        <v>30</v>
      </c>
      <c r="L595" t="s">
        <v>18</v>
      </c>
    </row>
    <row r="596" spans="1:12" x14ac:dyDescent="0.3">
      <c r="A596">
        <v>10698</v>
      </c>
      <c r="B596" s="2">
        <v>45482</v>
      </c>
      <c r="C596" t="s">
        <v>21</v>
      </c>
      <c r="D596" t="s">
        <v>22</v>
      </c>
      <c r="E596" t="s">
        <v>14</v>
      </c>
      <c r="F596" t="s">
        <v>15</v>
      </c>
      <c r="G596" t="s">
        <v>19</v>
      </c>
      <c r="H596">
        <v>3</v>
      </c>
      <c r="I596" s="3">
        <v>57</v>
      </c>
      <c r="J596" s="3">
        <v>171</v>
      </c>
      <c r="K596" t="s">
        <v>17</v>
      </c>
      <c r="L596" t="s">
        <v>33</v>
      </c>
    </row>
    <row r="597" spans="1:12" x14ac:dyDescent="0.3">
      <c r="A597">
        <v>10837</v>
      </c>
      <c r="B597" s="2">
        <v>45482</v>
      </c>
      <c r="C597" t="s">
        <v>37</v>
      </c>
      <c r="D597" t="s">
        <v>26</v>
      </c>
      <c r="E597" t="s">
        <v>23</v>
      </c>
      <c r="F597" t="s">
        <v>28</v>
      </c>
      <c r="G597" t="s">
        <v>36</v>
      </c>
      <c r="H597">
        <v>2</v>
      </c>
      <c r="I597" s="3">
        <v>50</v>
      </c>
      <c r="J597" s="3">
        <v>100</v>
      </c>
      <c r="K597" t="s">
        <v>35</v>
      </c>
      <c r="L597" t="s">
        <v>27</v>
      </c>
    </row>
    <row r="598" spans="1:12" x14ac:dyDescent="0.3">
      <c r="A598">
        <v>10992</v>
      </c>
      <c r="B598" s="2">
        <v>45482</v>
      </c>
      <c r="C598" t="s">
        <v>12</v>
      </c>
      <c r="D598" t="s">
        <v>42</v>
      </c>
      <c r="E598" t="s">
        <v>14</v>
      </c>
      <c r="F598" t="s">
        <v>28</v>
      </c>
      <c r="G598" t="s">
        <v>36</v>
      </c>
      <c r="H598">
        <v>3</v>
      </c>
      <c r="I598" s="3">
        <v>69</v>
      </c>
      <c r="J598" s="3">
        <v>207</v>
      </c>
      <c r="K598" t="s">
        <v>35</v>
      </c>
      <c r="L598" t="s">
        <v>27</v>
      </c>
    </row>
    <row r="599" spans="1:12" x14ac:dyDescent="0.3">
      <c r="A599">
        <v>10675</v>
      </c>
      <c r="B599" s="2">
        <v>45483</v>
      </c>
      <c r="C599" t="s">
        <v>12</v>
      </c>
      <c r="D599" t="s">
        <v>42</v>
      </c>
      <c r="E599" t="s">
        <v>14</v>
      </c>
      <c r="F599" t="s">
        <v>15</v>
      </c>
      <c r="G599" t="s">
        <v>19</v>
      </c>
      <c r="H599">
        <v>2</v>
      </c>
      <c r="I599" s="3">
        <v>119</v>
      </c>
      <c r="J599" s="3">
        <v>238</v>
      </c>
      <c r="K599" t="s">
        <v>35</v>
      </c>
      <c r="L599" t="s">
        <v>33</v>
      </c>
    </row>
    <row r="600" spans="1:12" x14ac:dyDescent="0.3">
      <c r="A600">
        <v>10923</v>
      </c>
      <c r="B600" s="2">
        <v>45483</v>
      </c>
      <c r="C600" t="s">
        <v>12</v>
      </c>
      <c r="D600" t="s">
        <v>13</v>
      </c>
      <c r="E600" t="s">
        <v>14</v>
      </c>
      <c r="F600" t="s">
        <v>28</v>
      </c>
      <c r="G600" t="s">
        <v>29</v>
      </c>
      <c r="H600">
        <v>2</v>
      </c>
      <c r="I600" s="3">
        <v>83</v>
      </c>
      <c r="J600" s="3">
        <v>166</v>
      </c>
      <c r="K600" t="s">
        <v>25</v>
      </c>
      <c r="L600" t="s">
        <v>27</v>
      </c>
    </row>
    <row r="601" spans="1:12" x14ac:dyDescent="0.3">
      <c r="A601">
        <v>10932</v>
      </c>
      <c r="B601" s="2">
        <v>45483</v>
      </c>
      <c r="C601" t="s">
        <v>21</v>
      </c>
      <c r="D601" t="s">
        <v>26</v>
      </c>
      <c r="E601" t="s">
        <v>14</v>
      </c>
      <c r="F601" t="s">
        <v>15</v>
      </c>
      <c r="G601" t="s">
        <v>16</v>
      </c>
      <c r="H601">
        <v>1</v>
      </c>
      <c r="I601" s="3">
        <v>55</v>
      </c>
      <c r="J601" s="3">
        <v>55</v>
      </c>
      <c r="K601" t="s">
        <v>32</v>
      </c>
      <c r="L601" t="s">
        <v>27</v>
      </c>
    </row>
    <row r="602" spans="1:12" x14ac:dyDescent="0.3">
      <c r="A602">
        <v>10943</v>
      </c>
      <c r="B602" s="2">
        <v>45483</v>
      </c>
      <c r="C602" t="s">
        <v>21</v>
      </c>
      <c r="D602" t="s">
        <v>42</v>
      </c>
      <c r="E602" t="s">
        <v>23</v>
      </c>
      <c r="F602" t="s">
        <v>28</v>
      </c>
      <c r="G602" t="s">
        <v>34</v>
      </c>
      <c r="H602">
        <v>1</v>
      </c>
      <c r="I602" s="3">
        <v>148</v>
      </c>
      <c r="J602" s="3">
        <v>148</v>
      </c>
      <c r="K602" t="s">
        <v>30</v>
      </c>
      <c r="L602" t="s">
        <v>33</v>
      </c>
    </row>
    <row r="603" spans="1:12" x14ac:dyDescent="0.3">
      <c r="A603">
        <v>10384</v>
      </c>
      <c r="B603" s="2">
        <v>45484</v>
      </c>
      <c r="C603" t="s">
        <v>37</v>
      </c>
      <c r="D603" t="s">
        <v>42</v>
      </c>
      <c r="E603" t="s">
        <v>23</v>
      </c>
      <c r="F603" t="s">
        <v>15</v>
      </c>
      <c r="G603" t="s">
        <v>19</v>
      </c>
      <c r="H603">
        <v>3</v>
      </c>
      <c r="I603" s="3">
        <v>128</v>
      </c>
      <c r="J603" s="3">
        <v>384</v>
      </c>
      <c r="K603" t="s">
        <v>32</v>
      </c>
      <c r="L603" t="s">
        <v>27</v>
      </c>
    </row>
    <row r="604" spans="1:12" x14ac:dyDescent="0.3">
      <c r="A604">
        <v>10434</v>
      </c>
      <c r="B604" s="2">
        <v>45485</v>
      </c>
      <c r="C604" t="s">
        <v>40</v>
      </c>
      <c r="D604" t="s">
        <v>42</v>
      </c>
      <c r="E604" t="s">
        <v>23</v>
      </c>
      <c r="F604" t="s">
        <v>28</v>
      </c>
      <c r="G604" t="s">
        <v>36</v>
      </c>
      <c r="H604">
        <v>5</v>
      </c>
      <c r="I604" s="3">
        <v>50</v>
      </c>
      <c r="J604" s="3">
        <v>250</v>
      </c>
      <c r="K604" t="s">
        <v>17</v>
      </c>
      <c r="L604" t="s">
        <v>33</v>
      </c>
    </row>
    <row r="605" spans="1:12" x14ac:dyDescent="0.3">
      <c r="A605">
        <v>11042</v>
      </c>
      <c r="B605" s="2">
        <v>45485</v>
      </c>
      <c r="C605" t="s">
        <v>21</v>
      </c>
      <c r="D605" t="s">
        <v>31</v>
      </c>
      <c r="E605" t="s">
        <v>14</v>
      </c>
      <c r="F605" t="s">
        <v>15</v>
      </c>
      <c r="G605" t="s">
        <v>16</v>
      </c>
      <c r="H605">
        <v>5</v>
      </c>
      <c r="I605" s="3">
        <v>45</v>
      </c>
      <c r="J605" s="3">
        <v>225</v>
      </c>
      <c r="K605" t="s">
        <v>25</v>
      </c>
      <c r="L605" t="s">
        <v>18</v>
      </c>
    </row>
    <row r="606" spans="1:12" x14ac:dyDescent="0.3">
      <c r="A606">
        <v>11182</v>
      </c>
      <c r="B606" s="2">
        <v>45485</v>
      </c>
      <c r="C606" t="s">
        <v>12</v>
      </c>
      <c r="D606" t="s">
        <v>22</v>
      </c>
      <c r="E606" t="s">
        <v>14</v>
      </c>
      <c r="F606" t="s">
        <v>28</v>
      </c>
      <c r="G606" t="s">
        <v>29</v>
      </c>
      <c r="H606">
        <v>1</v>
      </c>
      <c r="I606" s="3">
        <v>135</v>
      </c>
      <c r="J606" s="3">
        <v>135</v>
      </c>
      <c r="K606" t="s">
        <v>32</v>
      </c>
      <c r="L606" t="s">
        <v>33</v>
      </c>
    </row>
    <row r="607" spans="1:12" x14ac:dyDescent="0.3">
      <c r="A607">
        <v>10640</v>
      </c>
      <c r="B607" s="2">
        <v>45486</v>
      </c>
      <c r="C607" t="s">
        <v>21</v>
      </c>
      <c r="D607" t="s">
        <v>42</v>
      </c>
      <c r="E607" t="s">
        <v>23</v>
      </c>
      <c r="F607" t="s">
        <v>38</v>
      </c>
      <c r="G607" t="s">
        <v>43</v>
      </c>
      <c r="H607">
        <v>5</v>
      </c>
      <c r="I607" s="3">
        <v>79</v>
      </c>
      <c r="J607" s="3">
        <v>395</v>
      </c>
      <c r="K607" t="s">
        <v>32</v>
      </c>
      <c r="L607" t="s">
        <v>27</v>
      </c>
    </row>
    <row r="608" spans="1:12" x14ac:dyDescent="0.3">
      <c r="A608">
        <v>11020</v>
      </c>
      <c r="B608" s="2">
        <v>45486</v>
      </c>
      <c r="C608" t="s">
        <v>21</v>
      </c>
      <c r="D608" t="s">
        <v>22</v>
      </c>
      <c r="E608" t="s">
        <v>23</v>
      </c>
      <c r="F608" t="s">
        <v>15</v>
      </c>
      <c r="G608" t="s">
        <v>16</v>
      </c>
      <c r="H608">
        <v>1</v>
      </c>
      <c r="I608" s="3">
        <v>33</v>
      </c>
      <c r="J608" s="3">
        <v>33</v>
      </c>
      <c r="K608" t="s">
        <v>32</v>
      </c>
      <c r="L608" t="s">
        <v>20</v>
      </c>
    </row>
    <row r="609" spans="1:12" x14ac:dyDescent="0.3">
      <c r="A609">
        <v>10107</v>
      </c>
      <c r="B609" s="2">
        <v>45487</v>
      </c>
      <c r="C609" t="s">
        <v>37</v>
      </c>
      <c r="D609" t="s">
        <v>22</v>
      </c>
      <c r="E609" t="s">
        <v>23</v>
      </c>
      <c r="F609" t="s">
        <v>38</v>
      </c>
      <c r="G609" t="s">
        <v>39</v>
      </c>
      <c r="H609">
        <v>1</v>
      </c>
      <c r="I609" s="3">
        <v>80</v>
      </c>
      <c r="J609" s="3">
        <v>80</v>
      </c>
      <c r="K609" t="s">
        <v>35</v>
      </c>
      <c r="L609" t="s">
        <v>18</v>
      </c>
    </row>
    <row r="610" spans="1:12" x14ac:dyDescent="0.3">
      <c r="A610">
        <v>10491</v>
      </c>
      <c r="B610" s="2">
        <v>45487</v>
      </c>
      <c r="C610" t="s">
        <v>12</v>
      </c>
      <c r="D610" t="s">
        <v>13</v>
      </c>
      <c r="E610" t="s">
        <v>23</v>
      </c>
      <c r="F610" t="s">
        <v>38</v>
      </c>
      <c r="G610" t="s">
        <v>41</v>
      </c>
      <c r="H610">
        <v>3</v>
      </c>
      <c r="I610" s="3">
        <v>37</v>
      </c>
      <c r="J610" s="3">
        <v>111</v>
      </c>
      <c r="K610" t="s">
        <v>30</v>
      </c>
      <c r="L610" t="s">
        <v>33</v>
      </c>
    </row>
    <row r="611" spans="1:12" x14ac:dyDescent="0.3">
      <c r="A611">
        <v>10568</v>
      </c>
      <c r="B611" s="2">
        <v>45487</v>
      </c>
      <c r="C611" t="s">
        <v>12</v>
      </c>
      <c r="D611" t="s">
        <v>42</v>
      </c>
      <c r="E611" t="s">
        <v>14</v>
      </c>
      <c r="F611" t="s">
        <v>38</v>
      </c>
      <c r="G611" t="s">
        <v>39</v>
      </c>
      <c r="H611">
        <v>2</v>
      </c>
      <c r="I611" s="3">
        <v>42</v>
      </c>
      <c r="J611" s="3">
        <v>84</v>
      </c>
      <c r="K611" t="s">
        <v>17</v>
      </c>
      <c r="L611" t="s">
        <v>20</v>
      </c>
    </row>
    <row r="612" spans="1:12" x14ac:dyDescent="0.3">
      <c r="A612">
        <v>10648</v>
      </c>
      <c r="B612" s="2">
        <v>45487</v>
      </c>
      <c r="C612" t="s">
        <v>21</v>
      </c>
      <c r="D612" t="s">
        <v>26</v>
      </c>
      <c r="E612" t="s">
        <v>14</v>
      </c>
      <c r="F612" t="s">
        <v>28</v>
      </c>
      <c r="G612" t="s">
        <v>34</v>
      </c>
      <c r="H612">
        <v>3</v>
      </c>
      <c r="I612" s="3">
        <v>35</v>
      </c>
      <c r="J612" s="3">
        <v>105</v>
      </c>
      <c r="K612" t="s">
        <v>35</v>
      </c>
      <c r="L612" t="s">
        <v>33</v>
      </c>
    </row>
    <row r="613" spans="1:12" x14ac:dyDescent="0.3">
      <c r="A613">
        <v>10846</v>
      </c>
      <c r="B613" s="2">
        <v>45487</v>
      </c>
      <c r="C613" t="s">
        <v>37</v>
      </c>
      <c r="D613" t="s">
        <v>31</v>
      </c>
      <c r="E613" t="s">
        <v>14</v>
      </c>
      <c r="F613" t="s">
        <v>28</v>
      </c>
      <c r="G613" t="s">
        <v>29</v>
      </c>
      <c r="H613">
        <v>1</v>
      </c>
      <c r="I613" s="3">
        <v>101</v>
      </c>
      <c r="J613" s="3">
        <v>101</v>
      </c>
      <c r="K613" t="s">
        <v>25</v>
      </c>
      <c r="L613" t="s">
        <v>20</v>
      </c>
    </row>
    <row r="614" spans="1:12" x14ac:dyDescent="0.3">
      <c r="A614">
        <v>10905</v>
      </c>
      <c r="B614" s="2">
        <v>45487</v>
      </c>
      <c r="C614" t="s">
        <v>12</v>
      </c>
      <c r="D614" t="s">
        <v>42</v>
      </c>
      <c r="E614" t="s">
        <v>14</v>
      </c>
      <c r="F614" t="s">
        <v>38</v>
      </c>
      <c r="G614" t="s">
        <v>43</v>
      </c>
      <c r="H614">
        <v>5</v>
      </c>
      <c r="I614" s="3">
        <v>120</v>
      </c>
      <c r="J614" s="3">
        <v>600</v>
      </c>
      <c r="K614" t="s">
        <v>17</v>
      </c>
      <c r="L614" t="s">
        <v>27</v>
      </c>
    </row>
    <row r="615" spans="1:12" x14ac:dyDescent="0.3">
      <c r="A615">
        <v>11094</v>
      </c>
      <c r="B615" s="2">
        <v>45487</v>
      </c>
      <c r="C615" t="s">
        <v>37</v>
      </c>
      <c r="D615" t="s">
        <v>42</v>
      </c>
      <c r="E615" t="s">
        <v>23</v>
      </c>
      <c r="F615" t="s">
        <v>15</v>
      </c>
      <c r="G615" t="s">
        <v>24</v>
      </c>
      <c r="H615">
        <v>2</v>
      </c>
      <c r="I615" s="3">
        <v>131</v>
      </c>
      <c r="J615" s="3">
        <v>262</v>
      </c>
      <c r="K615" t="s">
        <v>17</v>
      </c>
      <c r="L615" t="s">
        <v>18</v>
      </c>
    </row>
    <row r="616" spans="1:12" x14ac:dyDescent="0.3">
      <c r="A616">
        <v>10483</v>
      </c>
      <c r="B616" s="2">
        <v>45488</v>
      </c>
      <c r="C616" t="s">
        <v>21</v>
      </c>
      <c r="D616" t="s">
        <v>22</v>
      </c>
      <c r="E616" t="s">
        <v>23</v>
      </c>
      <c r="F616" t="s">
        <v>38</v>
      </c>
      <c r="G616" t="s">
        <v>41</v>
      </c>
      <c r="H616">
        <v>5</v>
      </c>
      <c r="I616" s="3">
        <v>29</v>
      </c>
      <c r="J616" s="3">
        <v>145</v>
      </c>
      <c r="K616" t="s">
        <v>17</v>
      </c>
      <c r="L616" t="s">
        <v>18</v>
      </c>
    </row>
    <row r="617" spans="1:12" x14ac:dyDescent="0.3">
      <c r="A617">
        <v>10914</v>
      </c>
      <c r="B617" s="2">
        <v>45488</v>
      </c>
      <c r="C617" t="s">
        <v>12</v>
      </c>
      <c r="D617" t="s">
        <v>22</v>
      </c>
      <c r="E617" t="s">
        <v>14</v>
      </c>
      <c r="F617" t="s">
        <v>28</v>
      </c>
      <c r="G617" t="s">
        <v>36</v>
      </c>
      <c r="H617">
        <v>4</v>
      </c>
      <c r="I617" s="3">
        <v>137</v>
      </c>
      <c r="J617" s="3">
        <v>548</v>
      </c>
      <c r="K617" t="s">
        <v>30</v>
      </c>
      <c r="L617" t="s">
        <v>18</v>
      </c>
    </row>
    <row r="618" spans="1:12" x14ac:dyDescent="0.3">
      <c r="A618">
        <v>10012</v>
      </c>
      <c r="B618" s="2">
        <v>45489</v>
      </c>
      <c r="C618" t="s">
        <v>21</v>
      </c>
      <c r="D618" t="s">
        <v>22</v>
      </c>
      <c r="E618" t="s">
        <v>23</v>
      </c>
      <c r="F618" t="s">
        <v>15</v>
      </c>
      <c r="G618" t="s">
        <v>19</v>
      </c>
      <c r="H618">
        <v>5</v>
      </c>
      <c r="I618" s="3">
        <v>36</v>
      </c>
      <c r="J618" s="3">
        <v>180</v>
      </c>
      <c r="K618" t="s">
        <v>17</v>
      </c>
      <c r="L618" t="s">
        <v>33</v>
      </c>
    </row>
    <row r="619" spans="1:12" x14ac:dyDescent="0.3">
      <c r="A619">
        <v>10043</v>
      </c>
      <c r="B619" s="2">
        <v>45489</v>
      </c>
      <c r="C619" t="s">
        <v>12</v>
      </c>
      <c r="D619" t="s">
        <v>26</v>
      </c>
      <c r="E619" t="s">
        <v>14</v>
      </c>
      <c r="F619" t="s">
        <v>38</v>
      </c>
      <c r="G619" t="s">
        <v>43</v>
      </c>
      <c r="H619">
        <v>5</v>
      </c>
      <c r="I619" s="3">
        <v>49</v>
      </c>
      <c r="J619" s="3">
        <v>245</v>
      </c>
      <c r="K619" t="s">
        <v>30</v>
      </c>
      <c r="L619" t="s">
        <v>18</v>
      </c>
    </row>
    <row r="620" spans="1:12" x14ac:dyDescent="0.3">
      <c r="A620">
        <v>10098</v>
      </c>
      <c r="B620" s="2">
        <v>45489</v>
      </c>
      <c r="C620" t="s">
        <v>12</v>
      </c>
      <c r="D620" t="s">
        <v>42</v>
      </c>
      <c r="E620" t="s">
        <v>14</v>
      </c>
      <c r="F620" t="s">
        <v>28</v>
      </c>
      <c r="G620" t="s">
        <v>29</v>
      </c>
      <c r="H620">
        <v>4</v>
      </c>
      <c r="I620" s="3">
        <v>117</v>
      </c>
      <c r="J620" s="3">
        <v>468</v>
      </c>
      <c r="K620" t="s">
        <v>32</v>
      </c>
      <c r="L620" t="s">
        <v>33</v>
      </c>
    </row>
    <row r="621" spans="1:12" x14ac:dyDescent="0.3">
      <c r="A621">
        <v>10266</v>
      </c>
      <c r="B621" s="2">
        <v>45489</v>
      </c>
      <c r="C621" t="s">
        <v>40</v>
      </c>
      <c r="D621" t="s">
        <v>26</v>
      </c>
      <c r="E621" t="s">
        <v>23</v>
      </c>
      <c r="F621" t="s">
        <v>15</v>
      </c>
      <c r="G621" t="s">
        <v>16</v>
      </c>
      <c r="H621">
        <v>5</v>
      </c>
      <c r="I621" s="3">
        <v>103</v>
      </c>
      <c r="J621" s="3">
        <v>515</v>
      </c>
      <c r="K621" t="s">
        <v>30</v>
      </c>
      <c r="L621" t="s">
        <v>18</v>
      </c>
    </row>
    <row r="622" spans="1:12" x14ac:dyDescent="0.3">
      <c r="A622">
        <v>10684</v>
      </c>
      <c r="B622" s="2">
        <v>45489</v>
      </c>
      <c r="C622" t="s">
        <v>37</v>
      </c>
      <c r="D622" t="s">
        <v>22</v>
      </c>
      <c r="E622" t="s">
        <v>14</v>
      </c>
      <c r="F622" t="s">
        <v>15</v>
      </c>
      <c r="G622" t="s">
        <v>19</v>
      </c>
      <c r="H622">
        <v>1</v>
      </c>
      <c r="I622" s="3">
        <v>38</v>
      </c>
      <c r="J622" s="3">
        <v>38</v>
      </c>
      <c r="K622" t="s">
        <v>35</v>
      </c>
      <c r="L622" t="s">
        <v>27</v>
      </c>
    </row>
    <row r="623" spans="1:12" x14ac:dyDescent="0.3">
      <c r="A623">
        <v>11133</v>
      </c>
      <c r="B623" s="2">
        <v>45489</v>
      </c>
      <c r="C623" t="s">
        <v>12</v>
      </c>
      <c r="D623" t="s">
        <v>42</v>
      </c>
      <c r="E623" t="s">
        <v>14</v>
      </c>
      <c r="F623" t="s">
        <v>28</v>
      </c>
      <c r="G623" t="s">
        <v>34</v>
      </c>
      <c r="H623">
        <v>2</v>
      </c>
      <c r="I623" s="3">
        <v>139</v>
      </c>
      <c r="J623" s="3">
        <v>278</v>
      </c>
      <c r="K623" t="s">
        <v>35</v>
      </c>
      <c r="L623" t="s">
        <v>20</v>
      </c>
    </row>
    <row r="624" spans="1:12" x14ac:dyDescent="0.3">
      <c r="A624">
        <v>11173</v>
      </c>
      <c r="B624" s="2">
        <v>45489</v>
      </c>
      <c r="C624" t="s">
        <v>40</v>
      </c>
      <c r="D624" t="s">
        <v>42</v>
      </c>
      <c r="E624" t="s">
        <v>23</v>
      </c>
      <c r="F624" t="s">
        <v>38</v>
      </c>
      <c r="G624" t="s">
        <v>43</v>
      </c>
      <c r="H624">
        <v>3</v>
      </c>
      <c r="I624" s="3">
        <v>120</v>
      </c>
      <c r="J624" s="3">
        <v>360</v>
      </c>
      <c r="K624" t="s">
        <v>30</v>
      </c>
      <c r="L624" t="s">
        <v>20</v>
      </c>
    </row>
    <row r="625" spans="1:12" x14ac:dyDescent="0.3">
      <c r="A625">
        <v>10242</v>
      </c>
      <c r="B625" s="2">
        <v>45490</v>
      </c>
      <c r="C625" t="s">
        <v>12</v>
      </c>
      <c r="D625" t="s">
        <v>26</v>
      </c>
      <c r="E625" t="s">
        <v>14</v>
      </c>
      <c r="F625" t="s">
        <v>38</v>
      </c>
      <c r="G625" t="s">
        <v>43</v>
      </c>
      <c r="H625">
        <v>5</v>
      </c>
      <c r="I625" s="3">
        <v>54</v>
      </c>
      <c r="J625" s="3">
        <v>270</v>
      </c>
      <c r="K625" t="s">
        <v>35</v>
      </c>
      <c r="L625" t="s">
        <v>18</v>
      </c>
    </row>
    <row r="626" spans="1:12" x14ac:dyDescent="0.3">
      <c r="A626">
        <v>10368</v>
      </c>
      <c r="B626" s="2">
        <v>45490</v>
      </c>
      <c r="C626" t="s">
        <v>21</v>
      </c>
      <c r="D626" t="s">
        <v>22</v>
      </c>
      <c r="E626" t="s">
        <v>23</v>
      </c>
      <c r="F626" t="s">
        <v>15</v>
      </c>
      <c r="G626" t="s">
        <v>16</v>
      </c>
      <c r="H626">
        <v>5</v>
      </c>
      <c r="I626" s="3">
        <v>35</v>
      </c>
      <c r="J626" s="3">
        <v>175</v>
      </c>
      <c r="K626" t="s">
        <v>17</v>
      </c>
      <c r="L626" t="s">
        <v>20</v>
      </c>
    </row>
    <row r="627" spans="1:12" x14ac:dyDescent="0.3">
      <c r="A627">
        <v>10371</v>
      </c>
      <c r="B627" s="2">
        <v>45490</v>
      </c>
      <c r="C627" t="s">
        <v>21</v>
      </c>
      <c r="D627" t="s">
        <v>22</v>
      </c>
      <c r="E627" t="s">
        <v>23</v>
      </c>
      <c r="F627" t="s">
        <v>38</v>
      </c>
      <c r="G627" t="s">
        <v>43</v>
      </c>
      <c r="H627">
        <v>1</v>
      </c>
      <c r="I627" s="3">
        <v>42</v>
      </c>
      <c r="J627" s="3">
        <v>42</v>
      </c>
      <c r="K627" t="s">
        <v>35</v>
      </c>
      <c r="L627" t="s">
        <v>27</v>
      </c>
    </row>
    <row r="628" spans="1:12" x14ac:dyDescent="0.3">
      <c r="A628">
        <v>10563</v>
      </c>
      <c r="B628" s="2">
        <v>45490</v>
      </c>
      <c r="C628" t="s">
        <v>37</v>
      </c>
      <c r="D628" t="s">
        <v>26</v>
      </c>
      <c r="E628" t="s">
        <v>14</v>
      </c>
      <c r="F628" t="s">
        <v>28</v>
      </c>
      <c r="G628" t="s">
        <v>29</v>
      </c>
      <c r="H628">
        <v>1</v>
      </c>
      <c r="I628" s="3">
        <v>37</v>
      </c>
      <c r="J628" s="3">
        <v>37</v>
      </c>
      <c r="K628" t="s">
        <v>25</v>
      </c>
      <c r="L628" t="s">
        <v>33</v>
      </c>
    </row>
    <row r="629" spans="1:12" x14ac:dyDescent="0.3">
      <c r="A629">
        <v>10567</v>
      </c>
      <c r="B629" s="2">
        <v>45490</v>
      </c>
      <c r="C629" t="s">
        <v>40</v>
      </c>
      <c r="D629" t="s">
        <v>22</v>
      </c>
      <c r="E629" t="s">
        <v>23</v>
      </c>
      <c r="F629" t="s">
        <v>15</v>
      </c>
      <c r="G629" t="s">
        <v>19</v>
      </c>
      <c r="H629">
        <v>1</v>
      </c>
      <c r="I629" s="3">
        <v>85</v>
      </c>
      <c r="J629" s="3">
        <v>85</v>
      </c>
      <c r="K629" t="s">
        <v>32</v>
      </c>
      <c r="L629" t="s">
        <v>20</v>
      </c>
    </row>
    <row r="630" spans="1:12" x14ac:dyDescent="0.3">
      <c r="A630">
        <v>10860</v>
      </c>
      <c r="B630" s="2">
        <v>45490</v>
      </c>
      <c r="C630" t="s">
        <v>12</v>
      </c>
      <c r="D630" t="s">
        <v>31</v>
      </c>
      <c r="E630" t="s">
        <v>14</v>
      </c>
      <c r="F630" t="s">
        <v>38</v>
      </c>
      <c r="G630" t="s">
        <v>39</v>
      </c>
      <c r="H630">
        <v>5</v>
      </c>
      <c r="I630" s="3">
        <v>111</v>
      </c>
      <c r="J630" s="3">
        <v>555</v>
      </c>
      <c r="K630" t="s">
        <v>30</v>
      </c>
      <c r="L630" t="s">
        <v>33</v>
      </c>
    </row>
    <row r="631" spans="1:12" x14ac:dyDescent="0.3">
      <c r="A631">
        <v>10056</v>
      </c>
      <c r="B631" s="2">
        <v>45491</v>
      </c>
      <c r="C631" t="s">
        <v>40</v>
      </c>
      <c r="D631" t="s">
        <v>22</v>
      </c>
      <c r="E631" t="s">
        <v>23</v>
      </c>
      <c r="F631" t="s">
        <v>38</v>
      </c>
      <c r="G631" t="s">
        <v>41</v>
      </c>
      <c r="H631">
        <v>2</v>
      </c>
      <c r="I631" s="3">
        <v>127</v>
      </c>
      <c r="J631" s="3">
        <v>254</v>
      </c>
      <c r="K631" t="s">
        <v>30</v>
      </c>
      <c r="L631" t="s">
        <v>18</v>
      </c>
    </row>
    <row r="632" spans="1:12" x14ac:dyDescent="0.3">
      <c r="A632">
        <v>10526</v>
      </c>
      <c r="B632" s="2">
        <v>45491</v>
      </c>
      <c r="C632" t="s">
        <v>37</v>
      </c>
      <c r="D632" t="s">
        <v>26</v>
      </c>
      <c r="E632" t="s">
        <v>14</v>
      </c>
      <c r="F632" t="s">
        <v>15</v>
      </c>
      <c r="G632" t="s">
        <v>24</v>
      </c>
      <c r="H632">
        <v>2</v>
      </c>
      <c r="I632" s="3">
        <v>141</v>
      </c>
      <c r="J632" s="3">
        <v>282</v>
      </c>
      <c r="K632" t="s">
        <v>25</v>
      </c>
      <c r="L632" t="s">
        <v>18</v>
      </c>
    </row>
    <row r="633" spans="1:12" x14ac:dyDescent="0.3">
      <c r="A633">
        <v>10922</v>
      </c>
      <c r="B633" s="2">
        <v>45491</v>
      </c>
      <c r="C633" t="s">
        <v>37</v>
      </c>
      <c r="D633" t="s">
        <v>42</v>
      </c>
      <c r="E633" t="s">
        <v>14</v>
      </c>
      <c r="F633" t="s">
        <v>38</v>
      </c>
      <c r="G633" t="s">
        <v>43</v>
      </c>
      <c r="H633">
        <v>1</v>
      </c>
      <c r="I633" s="3">
        <v>46</v>
      </c>
      <c r="J633" s="3">
        <v>46</v>
      </c>
      <c r="K633" t="s">
        <v>17</v>
      </c>
      <c r="L633" t="s">
        <v>18</v>
      </c>
    </row>
    <row r="634" spans="1:12" x14ac:dyDescent="0.3">
      <c r="A634">
        <v>10927</v>
      </c>
      <c r="B634" s="2">
        <v>45491</v>
      </c>
      <c r="C634" t="s">
        <v>12</v>
      </c>
      <c r="D634" t="s">
        <v>42</v>
      </c>
      <c r="E634" t="s">
        <v>14</v>
      </c>
      <c r="F634" t="s">
        <v>28</v>
      </c>
      <c r="G634" t="s">
        <v>29</v>
      </c>
      <c r="H634">
        <v>3</v>
      </c>
      <c r="I634" s="3">
        <v>23</v>
      </c>
      <c r="J634" s="3">
        <v>69</v>
      </c>
      <c r="K634" t="s">
        <v>25</v>
      </c>
      <c r="L634" t="s">
        <v>33</v>
      </c>
    </row>
    <row r="635" spans="1:12" x14ac:dyDescent="0.3">
      <c r="A635">
        <v>11188</v>
      </c>
      <c r="B635" s="2">
        <v>45491</v>
      </c>
      <c r="C635" t="s">
        <v>37</v>
      </c>
      <c r="D635" t="s">
        <v>31</v>
      </c>
      <c r="E635" t="s">
        <v>14</v>
      </c>
      <c r="F635" t="s">
        <v>28</v>
      </c>
      <c r="G635" t="s">
        <v>34</v>
      </c>
      <c r="H635">
        <v>3</v>
      </c>
      <c r="I635" s="3">
        <v>84</v>
      </c>
      <c r="J635" s="3">
        <v>252</v>
      </c>
      <c r="K635" t="s">
        <v>35</v>
      </c>
      <c r="L635" t="s">
        <v>18</v>
      </c>
    </row>
    <row r="636" spans="1:12" x14ac:dyDescent="0.3">
      <c r="A636">
        <v>10611</v>
      </c>
      <c r="B636" s="2">
        <v>45492</v>
      </c>
      <c r="C636" t="s">
        <v>12</v>
      </c>
      <c r="D636" t="s">
        <v>22</v>
      </c>
      <c r="E636" t="s">
        <v>23</v>
      </c>
      <c r="F636" t="s">
        <v>38</v>
      </c>
      <c r="G636" t="s">
        <v>41</v>
      </c>
      <c r="H636">
        <v>1</v>
      </c>
      <c r="I636" s="3">
        <v>129</v>
      </c>
      <c r="J636" s="3">
        <v>129</v>
      </c>
      <c r="K636" t="s">
        <v>17</v>
      </c>
      <c r="L636" t="s">
        <v>33</v>
      </c>
    </row>
    <row r="637" spans="1:12" x14ac:dyDescent="0.3">
      <c r="A637">
        <v>11064</v>
      </c>
      <c r="B637" s="2">
        <v>45492</v>
      </c>
      <c r="C637" t="s">
        <v>12</v>
      </c>
      <c r="D637" t="s">
        <v>22</v>
      </c>
      <c r="E637" t="s">
        <v>14</v>
      </c>
      <c r="F637" t="s">
        <v>38</v>
      </c>
      <c r="G637" t="s">
        <v>43</v>
      </c>
      <c r="H637">
        <v>1</v>
      </c>
      <c r="I637" s="3">
        <v>76</v>
      </c>
      <c r="J637" s="3">
        <v>76</v>
      </c>
      <c r="K637" t="s">
        <v>30</v>
      </c>
      <c r="L637" t="s">
        <v>27</v>
      </c>
    </row>
    <row r="638" spans="1:12" x14ac:dyDescent="0.3">
      <c r="A638">
        <v>10581</v>
      </c>
      <c r="B638" s="2">
        <v>45493</v>
      </c>
      <c r="C638" t="s">
        <v>21</v>
      </c>
      <c r="D638" t="s">
        <v>26</v>
      </c>
      <c r="E638" t="s">
        <v>23</v>
      </c>
      <c r="F638" t="s">
        <v>28</v>
      </c>
      <c r="G638" t="s">
        <v>36</v>
      </c>
      <c r="H638">
        <v>5</v>
      </c>
      <c r="I638" s="3">
        <v>54</v>
      </c>
      <c r="J638" s="3">
        <v>270</v>
      </c>
      <c r="K638" t="s">
        <v>25</v>
      </c>
      <c r="L638" t="s">
        <v>20</v>
      </c>
    </row>
    <row r="639" spans="1:12" x14ac:dyDescent="0.3">
      <c r="A639">
        <v>10771</v>
      </c>
      <c r="B639" s="2">
        <v>45493</v>
      </c>
      <c r="C639" t="s">
        <v>21</v>
      </c>
      <c r="D639" t="s">
        <v>22</v>
      </c>
      <c r="E639" t="s">
        <v>14</v>
      </c>
      <c r="F639" t="s">
        <v>28</v>
      </c>
      <c r="G639" t="s">
        <v>29</v>
      </c>
      <c r="H639">
        <v>3</v>
      </c>
      <c r="I639" s="3">
        <v>66</v>
      </c>
      <c r="J639" s="3">
        <v>198</v>
      </c>
      <c r="K639" t="s">
        <v>25</v>
      </c>
      <c r="L639" t="s">
        <v>18</v>
      </c>
    </row>
    <row r="640" spans="1:12" x14ac:dyDescent="0.3">
      <c r="A640">
        <v>10859</v>
      </c>
      <c r="B640" s="2">
        <v>45493</v>
      </c>
      <c r="C640" t="s">
        <v>40</v>
      </c>
      <c r="D640" t="s">
        <v>31</v>
      </c>
      <c r="E640" t="s">
        <v>14</v>
      </c>
      <c r="F640" t="s">
        <v>15</v>
      </c>
      <c r="G640" t="s">
        <v>16</v>
      </c>
      <c r="H640">
        <v>4</v>
      </c>
      <c r="I640" s="3">
        <v>145</v>
      </c>
      <c r="J640" s="3">
        <v>580</v>
      </c>
      <c r="K640" t="s">
        <v>30</v>
      </c>
      <c r="L640" t="s">
        <v>18</v>
      </c>
    </row>
    <row r="641" spans="1:12" x14ac:dyDescent="0.3">
      <c r="A641">
        <v>10144</v>
      </c>
      <c r="B641" s="2">
        <v>45494</v>
      </c>
      <c r="C641" t="s">
        <v>37</v>
      </c>
      <c r="D641" t="s">
        <v>26</v>
      </c>
      <c r="E641" t="s">
        <v>14</v>
      </c>
      <c r="F641" t="s">
        <v>38</v>
      </c>
      <c r="G641" t="s">
        <v>43</v>
      </c>
      <c r="H641">
        <v>4</v>
      </c>
      <c r="I641" s="3">
        <v>40</v>
      </c>
      <c r="J641" s="3">
        <v>160</v>
      </c>
      <c r="K641" t="s">
        <v>35</v>
      </c>
      <c r="L641" t="s">
        <v>20</v>
      </c>
    </row>
    <row r="642" spans="1:12" x14ac:dyDescent="0.3">
      <c r="A642">
        <v>10164</v>
      </c>
      <c r="B642" s="2">
        <v>45494</v>
      </c>
      <c r="C642" t="s">
        <v>37</v>
      </c>
      <c r="D642" t="s">
        <v>13</v>
      </c>
      <c r="E642" t="s">
        <v>23</v>
      </c>
      <c r="F642" t="s">
        <v>38</v>
      </c>
      <c r="G642" t="s">
        <v>41</v>
      </c>
      <c r="H642">
        <v>4</v>
      </c>
      <c r="I642" s="3">
        <v>33</v>
      </c>
      <c r="J642" s="3">
        <v>132</v>
      </c>
      <c r="K642" t="s">
        <v>25</v>
      </c>
      <c r="L642" t="s">
        <v>33</v>
      </c>
    </row>
    <row r="643" spans="1:12" x14ac:dyDescent="0.3">
      <c r="A643">
        <v>10305</v>
      </c>
      <c r="B643" s="2">
        <v>45494</v>
      </c>
      <c r="C643" t="s">
        <v>37</v>
      </c>
      <c r="D643" t="s">
        <v>13</v>
      </c>
      <c r="E643" t="s">
        <v>23</v>
      </c>
      <c r="F643" t="s">
        <v>38</v>
      </c>
      <c r="G643" t="s">
        <v>43</v>
      </c>
      <c r="H643">
        <v>2</v>
      </c>
      <c r="I643" s="3">
        <v>33</v>
      </c>
      <c r="J643" s="3">
        <v>66</v>
      </c>
      <c r="K643" t="s">
        <v>25</v>
      </c>
      <c r="L643" t="s">
        <v>18</v>
      </c>
    </row>
    <row r="644" spans="1:12" x14ac:dyDescent="0.3">
      <c r="A644">
        <v>10518</v>
      </c>
      <c r="B644" s="2">
        <v>45494</v>
      </c>
      <c r="C644" t="s">
        <v>12</v>
      </c>
      <c r="D644" t="s">
        <v>13</v>
      </c>
      <c r="E644" t="s">
        <v>23</v>
      </c>
      <c r="F644" t="s">
        <v>28</v>
      </c>
      <c r="G644" t="s">
        <v>29</v>
      </c>
      <c r="H644">
        <v>5</v>
      </c>
      <c r="I644" s="3">
        <v>131</v>
      </c>
      <c r="J644" s="3">
        <v>655</v>
      </c>
      <c r="K644" t="s">
        <v>30</v>
      </c>
      <c r="L644" t="s">
        <v>20</v>
      </c>
    </row>
    <row r="645" spans="1:12" x14ac:dyDescent="0.3">
      <c r="A645">
        <v>10141</v>
      </c>
      <c r="B645" s="2">
        <v>45495</v>
      </c>
      <c r="C645" t="s">
        <v>40</v>
      </c>
      <c r="D645" t="s">
        <v>42</v>
      </c>
      <c r="E645" t="s">
        <v>14</v>
      </c>
      <c r="F645" t="s">
        <v>15</v>
      </c>
      <c r="G645" t="s">
        <v>24</v>
      </c>
      <c r="H645">
        <v>3</v>
      </c>
      <c r="I645" s="3">
        <v>38</v>
      </c>
      <c r="J645" s="3">
        <v>114</v>
      </c>
      <c r="K645" t="s">
        <v>30</v>
      </c>
      <c r="L645" t="s">
        <v>18</v>
      </c>
    </row>
    <row r="646" spans="1:12" x14ac:dyDescent="0.3">
      <c r="A646">
        <v>10182</v>
      </c>
      <c r="B646" s="2">
        <v>45495</v>
      </c>
      <c r="C646" t="s">
        <v>37</v>
      </c>
      <c r="D646" t="s">
        <v>26</v>
      </c>
      <c r="E646" t="s">
        <v>14</v>
      </c>
      <c r="F646" t="s">
        <v>15</v>
      </c>
      <c r="G646" t="s">
        <v>16</v>
      </c>
      <c r="H646">
        <v>5</v>
      </c>
      <c r="I646" s="3">
        <v>113</v>
      </c>
      <c r="J646" s="3">
        <v>565</v>
      </c>
      <c r="K646" t="s">
        <v>25</v>
      </c>
      <c r="L646" t="s">
        <v>18</v>
      </c>
    </row>
    <row r="647" spans="1:12" x14ac:dyDescent="0.3">
      <c r="A647">
        <v>10365</v>
      </c>
      <c r="B647" s="2">
        <v>45495</v>
      </c>
      <c r="C647" t="s">
        <v>21</v>
      </c>
      <c r="D647" t="s">
        <v>42</v>
      </c>
      <c r="E647" t="s">
        <v>23</v>
      </c>
      <c r="F647" t="s">
        <v>28</v>
      </c>
      <c r="G647" t="s">
        <v>29</v>
      </c>
      <c r="H647">
        <v>1</v>
      </c>
      <c r="I647" s="3">
        <v>98</v>
      </c>
      <c r="J647" s="3">
        <v>98</v>
      </c>
      <c r="K647" t="s">
        <v>25</v>
      </c>
      <c r="L647" t="s">
        <v>27</v>
      </c>
    </row>
    <row r="648" spans="1:12" x14ac:dyDescent="0.3">
      <c r="A648">
        <v>10758</v>
      </c>
      <c r="B648" s="2">
        <v>45495</v>
      </c>
      <c r="C648" t="s">
        <v>12</v>
      </c>
      <c r="D648" t="s">
        <v>13</v>
      </c>
      <c r="E648" t="s">
        <v>14</v>
      </c>
      <c r="F648" t="s">
        <v>28</v>
      </c>
      <c r="G648" t="s">
        <v>29</v>
      </c>
      <c r="H648">
        <v>3</v>
      </c>
      <c r="I648" s="3">
        <v>43</v>
      </c>
      <c r="J648" s="3">
        <v>129</v>
      </c>
      <c r="K648" t="s">
        <v>17</v>
      </c>
      <c r="L648" t="s">
        <v>18</v>
      </c>
    </row>
    <row r="649" spans="1:12" x14ac:dyDescent="0.3">
      <c r="A649">
        <v>11030</v>
      </c>
      <c r="B649" s="2">
        <v>45495</v>
      </c>
      <c r="C649" t="s">
        <v>21</v>
      </c>
      <c r="D649" t="s">
        <v>22</v>
      </c>
      <c r="E649" t="s">
        <v>14</v>
      </c>
      <c r="F649" t="s">
        <v>28</v>
      </c>
      <c r="G649" t="s">
        <v>36</v>
      </c>
      <c r="H649">
        <v>1</v>
      </c>
      <c r="I649" s="3">
        <v>68</v>
      </c>
      <c r="J649" s="3">
        <v>68</v>
      </c>
      <c r="K649" t="s">
        <v>32</v>
      </c>
      <c r="L649" t="s">
        <v>27</v>
      </c>
    </row>
    <row r="650" spans="1:12" x14ac:dyDescent="0.3">
      <c r="A650">
        <v>11117</v>
      </c>
      <c r="B650" s="2">
        <v>45495</v>
      </c>
      <c r="C650" t="s">
        <v>40</v>
      </c>
      <c r="D650" t="s">
        <v>31</v>
      </c>
      <c r="E650" t="s">
        <v>14</v>
      </c>
      <c r="F650" t="s">
        <v>38</v>
      </c>
      <c r="G650" t="s">
        <v>43</v>
      </c>
      <c r="H650">
        <v>5</v>
      </c>
      <c r="I650" s="3">
        <v>110</v>
      </c>
      <c r="J650" s="3">
        <v>550</v>
      </c>
      <c r="K650" t="s">
        <v>35</v>
      </c>
      <c r="L650" t="s">
        <v>27</v>
      </c>
    </row>
    <row r="651" spans="1:12" x14ac:dyDescent="0.3">
      <c r="A651">
        <v>11138</v>
      </c>
      <c r="B651" s="2">
        <v>45495</v>
      </c>
      <c r="C651" t="s">
        <v>21</v>
      </c>
      <c r="D651" t="s">
        <v>22</v>
      </c>
      <c r="E651" t="s">
        <v>23</v>
      </c>
      <c r="F651" t="s">
        <v>38</v>
      </c>
      <c r="G651" t="s">
        <v>39</v>
      </c>
      <c r="H651">
        <v>2</v>
      </c>
      <c r="I651" s="3">
        <v>58</v>
      </c>
      <c r="J651" s="3">
        <v>116</v>
      </c>
      <c r="K651" t="s">
        <v>25</v>
      </c>
      <c r="L651" t="s">
        <v>27</v>
      </c>
    </row>
    <row r="652" spans="1:12" x14ac:dyDescent="0.3">
      <c r="A652">
        <v>10050</v>
      </c>
      <c r="B652" s="2">
        <v>45496</v>
      </c>
      <c r="C652" t="s">
        <v>12</v>
      </c>
      <c r="D652" t="s">
        <v>13</v>
      </c>
      <c r="E652" t="s">
        <v>14</v>
      </c>
      <c r="F652" t="s">
        <v>15</v>
      </c>
      <c r="G652" t="s">
        <v>24</v>
      </c>
      <c r="H652">
        <v>4</v>
      </c>
      <c r="I652" s="3">
        <v>146</v>
      </c>
      <c r="J652" s="3">
        <v>584</v>
      </c>
      <c r="K652" t="s">
        <v>25</v>
      </c>
      <c r="L652" t="s">
        <v>27</v>
      </c>
    </row>
    <row r="653" spans="1:12" x14ac:dyDescent="0.3">
      <c r="A653">
        <v>10128</v>
      </c>
      <c r="B653" s="2">
        <v>45496</v>
      </c>
      <c r="C653" t="s">
        <v>21</v>
      </c>
      <c r="D653" t="s">
        <v>31</v>
      </c>
      <c r="E653" t="s">
        <v>23</v>
      </c>
      <c r="F653" t="s">
        <v>28</v>
      </c>
      <c r="G653" t="s">
        <v>29</v>
      </c>
      <c r="H653">
        <v>3</v>
      </c>
      <c r="I653" s="3">
        <v>136</v>
      </c>
      <c r="J653" s="3">
        <v>408</v>
      </c>
      <c r="K653" t="s">
        <v>30</v>
      </c>
      <c r="L653" t="s">
        <v>33</v>
      </c>
    </row>
    <row r="654" spans="1:12" x14ac:dyDescent="0.3">
      <c r="A654">
        <v>10883</v>
      </c>
      <c r="B654" s="2">
        <v>45496</v>
      </c>
      <c r="C654" t="s">
        <v>12</v>
      </c>
      <c r="D654" t="s">
        <v>31</v>
      </c>
      <c r="E654" t="s">
        <v>23</v>
      </c>
      <c r="F654" t="s">
        <v>15</v>
      </c>
      <c r="G654" t="s">
        <v>19</v>
      </c>
      <c r="H654">
        <v>4</v>
      </c>
      <c r="I654" s="3">
        <v>72</v>
      </c>
      <c r="J654" s="3">
        <v>288</v>
      </c>
      <c r="K654" t="s">
        <v>25</v>
      </c>
      <c r="L654" t="s">
        <v>18</v>
      </c>
    </row>
    <row r="655" spans="1:12" x14ac:dyDescent="0.3">
      <c r="A655">
        <v>10961</v>
      </c>
      <c r="B655" s="2">
        <v>45496</v>
      </c>
      <c r="C655" t="s">
        <v>40</v>
      </c>
      <c r="D655" t="s">
        <v>26</v>
      </c>
      <c r="E655" t="s">
        <v>23</v>
      </c>
      <c r="F655" t="s">
        <v>15</v>
      </c>
      <c r="G655" t="s">
        <v>19</v>
      </c>
      <c r="H655">
        <v>2</v>
      </c>
      <c r="I655" s="3">
        <v>144</v>
      </c>
      <c r="J655" s="3">
        <v>288</v>
      </c>
      <c r="K655" t="s">
        <v>30</v>
      </c>
      <c r="L655" t="s">
        <v>18</v>
      </c>
    </row>
    <row r="656" spans="1:12" x14ac:dyDescent="0.3">
      <c r="A656">
        <v>11135</v>
      </c>
      <c r="B656" s="2">
        <v>45496</v>
      </c>
      <c r="C656" t="s">
        <v>12</v>
      </c>
      <c r="D656" t="s">
        <v>31</v>
      </c>
      <c r="E656" t="s">
        <v>23</v>
      </c>
      <c r="F656" t="s">
        <v>38</v>
      </c>
      <c r="G656" t="s">
        <v>39</v>
      </c>
      <c r="H656">
        <v>4</v>
      </c>
      <c r="I656" s="3">
        <v>71</v>
      </c>
      <c r="J656" s="3">
        <v>284</v>
      </c>
      <c r="K656" t="s">
        <v>30</v>
      </c>
      <c r="L656" t="s">
        <v>20</v>
      </c>
    </row>
    <row r="657" spans="1:12" x14ac:dyDescent="0.3">
      <c r="A657">
        <v>10078</v>
      </c>
      <c r="B657" s="2">
        <v>45497</v>
      </c>
      <c r="C657" t="s">
        <v>21</v>
      </c>
      <c r="D657" t="s">
        <v>31</v>
      </c>
      <c r="E657" t="s">
        <v>14</v>
      </c>
      <c r="F657" t="s">
        <v>38</v>
      </c>
      <c r="G657" t="s">
        <v>39</v>
      </c>
      <c r="H657">
        <v>1</v>
      </c>
      <c r="I657" s="3">
        <v>36</v>
      </c>
      <c r="J657" s="3">
        <v>36</v>
      </c>
      <c r="K657" t="s">
        <v>32</v>
      </c>
      <c r="L657" t="s">
        <v>20</v>
      </c>
    </row>
    <row r="658" spans="1:12" x14ac:dyDescent="0.3">
      <c r="A658">
        <v>10204</v>
      </c>
      <c r="B658" s="2">
        <v>45497</v>
      </c>
      <c r="C658" t="s">
        <v>40</v>
      </c>
      <c r="D658" t="s">
        <v>31</v>
      </c>
      <c r="E658" t="s">
        <v>14</v>
      </c>
      <c r="F658" t="s">
        <v>28</v>
      </c>
      <c r="G658" t="s">
        <v>34</v>
      </c>
      <c r="H658">
        <v>5</v>
      </c>
      <c r="I658" s="3">
        <v>150</v>
      </c>
      <c r="J658" s="3">
        <v>750</v>
      </c>
      <c r="K658" t="s">
        <v>32</v>
      </c>
      <c r="L658" t="s">
        <v>33</v>
      </c>
    </row>
    <row r="659" spans="1:12" x14ac:dyDescent="0.3">
      <c r="A659">
        <v>10845</v>
      </c>
      <c r="B659" s="2">
        <v>45497</v>
      </c>
      <c r="C659" t="s">
        <v>40</v>
      </c>
      <c r="D659" t="s">
        <v>42</v>
      </c>
      <c r="E659" t="s">
        <v>14</v>
      </c>
      <c r="F659" t="s">
        <v>28</v>
      </c>
      <c r="G659" t="s">
        <v>36</v>
      </c>
      <c r="H659">
        <v>5</v>
      </c>
      <c r="I659" s="3">
        <v>102</v>
      </c>
      <c r="J659" s="3">
        <v>510</v>
      </c>
      <c r="K659" t="s">
        <v>35</v>
      </c>
      <c r="L659" t="s">
        <v>27</v>
      </c>
    </row>
    <row r="660" spans="1:12" x14ac:dyDescent="0.3">
      <c r="A660">
        <v>11031</v>
      </c>
      <c r="B660" s="2">
        <v>45497</v>
      </c>
      <c r="C660" t="s">
        <v>37</v>
      </c>
      <c r="D660" t="s">
        <v>13</v>
      </c>
      <c r="E660" t="s">
        <v>14</v>
      </c>
      <c r="F660" t="s">
        <v>15</v>
      </c>
      <c r="G660" t="s">
        <v>19</v>
      </c>
      <c r="H660">
        <v>5</v>
      </c>
      <c r="I660" s="3">
        <v>119</v>
      </c>
      <c r="J660" s="3">
        <v>595</v>
      </c>
      <c r="K660" t="s">
        <v>25</v>
      </c>
      <c r="L660" t="s">
        <v>20</v>
      </c>
    </row>
    <row r="661" spans="1:12" x14ac:dyDescent="0.3">
      <c r="A661">
        <v>10045</v>
      </c>
      <c r="B661" s="2">
        <v>45498</v>
      </c>
      <c r="C661" t="s">
        <v>37</v>
      </c>
      <c r="D661" t="s">
        <v>22</v>
      </c>
      <c r="E661" t="s">
        <v>14</v>
      </c>
      <c r="F661" t="s">
        <v>15</v>
      </c>
      <c r="G661" t="s">
        <v>19</v>
      </c>
      <c r="H661">
        <v>4</v>
      </c>
      <c r="I661" s="3">
        <v>103</v>
      </c>
      <c r="J661" s="3">
        <v>412</v>
      </c>
      <c r="K661" t="s">
        <v>32</v>
      </c>
      <c r="L661" t="s">
        <v>27</v>
      </c>
    </row>
    <row r="662" spans="1:12" x14ac:dyDescent="0.3">
      <c r="A662">
        <v>10090</v>
      </c>
      <c r="B662" s="2">
        <v>45498</v>
      </c>
      <c r="C662" t="s">
        <v>40</v>
      </c>
      <c r="D662" t="s">
        <v>22</v>
      </c>
      <c r="E662" t="s">
        <v>23</v>
      </c>
      <c r="F662" t="s">
        <v>38</v>
      </c>
      <c r="G662" t="s">
        <v>39</v>
      </c>
      <c r="H662">
        <v>3</v>
      </c>
      <c r="I662" s="3">
        <v>49</v>
      </c>
      <c r="J662" s="3">
        <v>147</v>
      </c>
      <c r="K662" t="s">
        <v>30</v>
      </c>
      <c r="L662" t="s">
        <v>18</v>
      </c>
    </row>
    <row r="663" spans="1:12" x14ac:dyDescent="0.3">
      <c r="A663">
        <v>10416</v>
      </c>
      <c r="B663" s="2">
        <v>45498</v>
      </c>
      <c r="C663" t="s">
        <v>12</v>
      </c>
      <c r="D663" t="s">
        <v>31</v>
      </c>
      <c r="E663" t="s">
        <v>23</v>
      </c>
      <c r="F663" t="s">
        <v>28</v>
      </c>
      <c r="G663" t="s">
        <v>36</v>
      </c>
      <c r="H663">
        <v>2</v>
      </c>
      <c r="I663" s="3">
        <v>116</v>
      </c>
      <c r="J663" s="3">
        <v>232</v>
      </c>
      <c r="K663" t="s">
        <v>30</v>
      </c>
      <c r="L663" t="s">
        <v>27</v>
      </c>
    </row>
    <row r="664" spans="1:12" x14ac:dyDescent="0.3">
      <c r="A664">
        <v>10488</v>
      </c>
      <c r="B664" s="2">
        <v>45498</v>
      </c>
      <c r="C664" t="s">
        <v>40</v>
      </c>
      <c r="D664" t="s">
        <v>26</v>
      </c>
      <c r="E664" t="s">
        <v>14</v>
      </c>
      <c r="F664" t="s">
        <v>28</v>
      </c>
      <c r="G664" t="s">
        <v>36</v>
      </c>
      <c r="H664">
        <v>2</v>
      </c>
      <c r="I664" s="3">
        <v>136</v>
      </c>
      <c r="J664" s="3">
        <v>272</v>
      </c>
      <c r="K664" t="s">
        <v>30</v>
      </c>
      <c r="L664" t="s">
        <v>18</v>
      </c>
    </row>
    <row r="665" spans="1:12" x14ac:dyDescent="0.3">
      <c r="A665">
        <v>10900</v>
      </c>
      <c r="B665" s="2">
        <v>45498</v>
      </c>
      <c r="C665" t="s">
        <v>21</v>
      </c>
      <c r="D665" t="s">
        <v>22</v>
      </c>
      <c r="E665" t="s">
        <v>14</v>
      </c>
      <c r="F665" t="s">
        <v>28</v>
      </c>
      <c r="G665" t="s">
        <v>29</v>
      </c>
      <c r="H665">
        <v>3</v>
      </c>
      <c r="I665" s="3">
        <v>108</v>
      </c>
      <c r="J665" s="3">
        <v>324</v>
      </c>
      <c r="K665" t="s">
        <v>30</v>
      </c>
      <c r="L665" t="s">
        <v>20</v>
      </c>
    </row>
    <row r="666" spans="1:12" x14ac:dyDescent="0.3">
      <c r="A666">
        <v>10046</v>
      </c>
      <c r="B666" s="2">
        <v>45499</v>
      </c>
      <c r="C666" t="s">
        <v>40</v>
      </c>
      <c r="D666" t="s">
        <v>26</v>
      </c>
      <c r="E666" t="s">
        <v>23</v>
      </c>
      <c r="F666" t="s">
        <v>15</v>
      </c>
      <c r="G666" t="s">
        <v>19</v>
      </c>
      <c r="H666">
        <v>2</v>
      </c>
      <c r="I666" s="3">
        <v>97</v>
      </c>
      <c r="J666" s="3">
        <v>194</v>
      </c>
      <c r="K666" t="s">
        <v>32</v>
      </c>
      <c r="L666" t="s">
        <v>27</v>
      </c>
    </row>
    <row r="667" spans="1:12" x14ac:dyDescent="0.3">
      <c r="A667">
        <v>11170</v>
      </c>
      <c r="B667" s="2">
        <v>45499</v>
      </c>
      <c r="C667" t="s">
        <v>21</v>
      </c>
      <c r="D667" t="s">
        <v>13</v>
      </c>
      <c r="E667" t="s">
        <v>14</v>
      </c>
      <c r="F667" t="s">
        <v>38</v>
      </c>
      <c r="G667" t="s">
        <v>41</v>
      </c>
      <c r="H667">
        <v>1</v>
      </c>
      <c r="I667" s="3">
        <v>96</v>
      </c>
      <c r="J667" s="3">
        <v>96</v>
      </c>
      <c r="K667" t="s">
        <v>17</v>
      </c>
      <c r="L667" t="s">
        <v>33</v>
      </c>
    </row>
    <row r="668" spans="1:12" x14ac:dyDescent="0.3">
      <c r="A668">
        <v>10188</v>
      </c>
      <c r="B668" s="2">
        <v>45501</v>
      </c>
      <c r="C668" t="s">
        <v>40</v>
      </c>
      <c r="D668" t="s">
        <v>13</v>
      </c>
      <c r="E668" t="s">
        <v>23</v>
      </c>
      <c r="F668" t="s">
        <v>38</v>
      </c>
      <c r="G668" t="s">
        <v>43</v>
      </c>
      <c r="H668">
        <v>4</v>
      </c>
      <c r="I668" s="3">
        <v>125</v>
      </c>
      <c r="J668" s="3">
        <v>500</v>
      </c>
      <c r="K668" t="s">
        <v>25</v>
      </c>
      <c r="L668" t="s">
        <v>27</v>
      </c>
    </row>
    <row r="669" spans="1:12" x14ac:dyDescent="0.3">
      <c r="A669">
        <v>10232</v>
      </c>
      <c r="B669" s="2">
        <v>45501</v>
      </c>
      <c r="C669" t="s">
        <v>12</v>
      </c>
      <c r="D669" t="s">
        <v>13</v>
      </c>
      <c r="E669" t="s">
        <v>23</v>
      </c>
      <c r="F669" t="s">
        <v>28</v>
      </c>
      <c r="G669" t="s">
        <v>29</v>
      </c>
      <c r="H669">
        <v>1</v>
      </c>
      <c r="I669" s="3">
        <v>93</v>
      </c>
      <c r="J669" s="3">
        <v>93</v>
      </c>
      <c r="K669" t="s">
        <v>35</v>
      </c>
      <c r="L669" t="s">
        <v>27</v>
      </c>
    </row>
    <row r="670" spans="1:12" x14ac:dyDescent="0.3">
      <c r="A670">
        <v>10896</v>
      </c>
      <c r="B670" s="2">
        <v>45501</v>
      </c>
      <c r="C670" t="s">
        <v>37</v>
      </c>
      <c r="D670" t="s">
        <v>42</v>
      </c>
      <c r="E670" t="s">
        <v>23</v>
      </c>
      <c r="F670" t="s">
        <v>38</v>
      </c>
      <c r="G670" t="s">
        <v>39</v>
      </c>
      <c r="H670">
        <v>4</v>
      </c>
      <c r="I670" s="3">
        <v>130</v>
      </c>
      <c r="J670" s="3">
        <v>520</v>
      </c>
      <c r="K670" t="s">
        <v>35</v>
      </c>
      <c r="L670" t="s">
        <v>27</v>
      </c>
    </row>
    <row r="671" spans="1:12" x14ac:dyDescent="0.3">
      <c r="A671">
        <v>10944</v>
      </c>
      <c r="B671" s="2">
        <v>45501</v>
      </c>
      <c r="C671" t="s">
        <v>40</v>
      </c>
      <c r="D671" t="s">
        <v>31</v>
      </c>
      <c r="E671" t="s">
        <v>23</v>
      </c>
      <c r="F671" t="s">
        <v>38</v>
      </c>
      <c r="G671" t="s">
        <v>39</v>
      </c>
      <c r="H671">
        <v>3</v>
      </c>
      <c r="I671" s="3">
        <v>38</v>
      </c>
      <c r="J671" s="3">
        <v>114</v>
      </c>
      <c r="K671" t="s">
        <v>17</v>
      </c>
      <c r="L671" t="s">
        <v>20</v>
      </c>
    </row>
    <row r="672" spans="1:12" x14ac:dyDescent="0.3">
      <c r="A672">
        <v>11077</v>
      </c>
      <c r="B672" s="2">
        <v>45501</v>
      </c>
      <c r="C672" t="s">
        <v>12</v>
      </c>
      <c r="D672" t="s">
        <v>42</v>
      </c>
      <c r="E672" t="s">
        <v>23</v>
      </c>
      <c r="F672" t="s">
        <v>28</v>
      </c>
      <c r="G672" t="s">
        <v>29</v>
      </c>
      <c r="H672">
        <v>3</v>
      </c>
      <c r="I672" s="3">
        <v>122</v>
      </c>
      <c r="J672" s="3">
        <v>366</v>
      </c>
      <c r="K672" t="s">
        <v>17</v>
      </c>
      <c r="L672" t="s">
        <v>33</v>
      </c>
    </row>
    <row r="673" spans="1:12" x14ac:dyDescent="0.3">
      <c r="A673">
        <v>10022</v>
      </c>
      <c r="B673" s="2">
        <v>45502</v>
      </c>
      <c r="C673" t="s">
        <v>21</v>
      </c>
      <c r="D673" t="s">
        <v>31</v>
      </c>
      <c r="E673" t="s">
        <v>14</v>
      </c>
      <c r="F673" t="s">
        <v>15</v>
      </c>
      <c r="G673" t="s">
        <v>19</v>
      </c>
      <c r="H673">
        <v>3</v>
      </c>
      <c r="I673" s="3">
        <v>128</v>
      </c>
      <c r="J673" s="3">
        <v>384</v>
      </c>
      <c r="K673" t="s">
        <v>25</v>
      </c>
      <c r="L673" t="s">
        <v>27</v>
      </c>
    </row>
    <row r="674" spans="1:12" x14ac:dyDescent="0.3">
      <c r="A674">
        <v>10629</v>
      </c>
      <c r="B674" s="2">
        <v>45502</v>
      </c>
      <c r="C674" t="s">
        <v>37</v>
      </c>
      <c r="D674" t="s">
        <v>31</v>
      </c>
      <c r="E674" t="s">
        <v>14</v>
      </c>
      <c r="F674" t="s">
        <v>15</v>
      </c>
      <c r="G674" t="s">
        <v>16</v>
      </c>
      <c r="H674">
        <v>5</v>
      </c>
      <c r="I674" s="3">
        <v>88</v>
      </c>
      <c r="J674" s="3">
        <v>440</v>
      </c>
      <c r="K674" t="s">
        <v>17</v>
      </c>
      <c r="L674" t="s">
        <v>27</v>
      </c>
    </row>
    <row r="675" spans="1:12" x14ac:dyDescent="0.3">
      <c r="A675">
        <v>10644</v>
      </c>
      <c r="B675" s="2">
        <v>45502</v>
      </c>
      <c r="C675" t="s">
        <v>40</v>
      </c>
      <c r="D675" t="s">
        <v>22</v>
      </c>
      <c r="E675" t="s">
        <v>14</v>
      </c>
      <c r="F675" t="s">
        <v>15</v>
      </c>
      <c r="G675" t="s">
        <v>16</v>
      </c>
      <c r="H675">
        <v>1</v>
      </c>
      <c r="I675" s="3">
        <v>23</v>
      </c>
      <c r="J675" s="3">
        <v>23</v>
      </c>
      <c r="K675" t="s">
        <v>30</v>
      </c>
      <c r="L675" t="s">
        <v>33</v>
      </c>
    </row>
    <row r="676" spans="1:12" x14ac:dyDescent="0.3">
      <c r="A676">
        <v>10678</v>
      </c>
      <c r="B676" s="2">
        <v>45502</v>
      </c>
      <c r="C676" t="s">
        <v>21</v>
      </c>
      <c r="D676" t="s">
        <v>13</v>
      </c>
      <c r="E676" t="s">
        <v>23</v>
      </c>
      <c r="F676" t="s">
        <v>15</v>
      </c>
      <c r="G676" t="s">
        <v>24</v>
      </c>
      <c r="H676">
        <v>2</v>
      </c>
      <c r="I676" s="3">
        <v>42</v>
      </c>
      <c r="J676" s="3">
        <v>84</v>
      </c>
      <c r="K676" t="s">
        <v>30</v>
      </c>
      <c r="L676" t="s">
        <v>33</v>
      </c>
    </row>
    <row r="677" spans="1:12" x14ac:dyDescent="0.3">
      <c r="A677">
        <v>10743</v>
      </c>
      <c r="B677" s="2">
        <v>45502</v>
      </c>
      <c r="C677" t="s">
        <v>37</v>
      </c>
      <c r="D677" t="s">
        <v>31</v>
      </c>
      <c r="E677" t="s">
        <v>14</v>
      </c>
      <c r="F677" t="s">
        <v>28</v>
      </c>
      <c r="G677" t="s">
        <v>29</v>
      </c>
      <c r="H677">
        <v>3</v>
      </c>
      <c r="I677" s="3">
        <v>111</v>
      </c>
      <c r="J677" s="3">
        <v>333</v>
      </c>
      <c r="K677" t="s">
        <v>32</v>
      </c>
      <c r="L677" t="s">
        <v>20</v>
      </c>
    </row>
    <row r="678" spans="1:12" x14ac:dyDescent="0.3">
      <c r="A678">
        <v>10216</v>
      </c>
      <c r="B678" s="2">
        <v>45503</v>
      </c>
      <c r="C678" t="s">
        <v>37</v>
      </c>
      <c r="D678" t="s">
        <v>42</v>
      </c>
      <c r="E678" t="s">
        <v>14</v>
      </c>
      <c r="F678" t="s">
        <v>15</v>
      </c>
      <c r="G678" t="s">
        <v>16</v>
      </c>
      <c r="H678">
        <v>1</v>
      </c>
      <c r="I678" s="3">
        <v>45</v>
      </c>
      <c r="J678" s="3">
        <v>45</v>
      </c>
      <c r="K678" t="s">
        <v>32</v>
      </c>
      <c r="L678" t="s">
        <v>18</v>
      </c>
    </row>
    <row r="679" spans="1:12" x14ac:dyDescent="0.3">
      <c r="A679">
        <v>10251</v>
      </c>
      <c r="B679" s="2">
        <v>45503</v>
      </c>
      <c r="C679" t="s">
        <v>12</v>
      </c>
      <c r="D679" t="s">
        <v>13</v>
      </c>
      <c r="E679" t="s">
        <v>14</v>
      </c>
      <c r="F679" t="s">
        <v>28</v>
      </c>
      <c r="G679" t="s">
        <v>36</v>
      </c>
      <c r="H679">
        <v>1</v>
      </c>
      <c r="I679" s="3">
        <v>21</v>
      </c>
      <c r="J679" s="3">
        <v>21</v>
      </c>
      <c r="K679" t="s">
        <v>32</v>
      </c>
      <c r="L679" t="s">
        <v>18</v>
      </c>
    </row>
    <row r="680" spans="1:12" x14ac:dyDescent="0.3">
      <c r="A680">
        <v>10509</v>
      </c>
      <c r="B680" s="2">
        <v>45503</v>
      </c>
      <c r="C680" t="s">
        <v>12</v>
      </c>
      <c r="D680" t="s">
        <v>13</v>
      </c>
      <c r="E680" t="s">
        <v>14</v>
      </c>
      <c r="F680" t="s">
        <v>38</v>
      </c>
      <c r="G680" t="s">
        <v>39</v>
      </c>
      <c r="H680">
        <v>3</v>
      </c>
      <c r="I680" s="3">
        <v>135</v>
      </c>
      <c r="J680" s="3">
        <v>405</v>
      </c>
      <c r="K680" t="s">
        <v>32</v>
      </c>
      <c r="L680" t="s">
        <v>20</v>
      </c>
    </row>
    <row r="681" spans="1:12" x14ac:dyDescent="0.3">
      <c r="A681">
        <v>11197</v>
      </c>
      <c r="B681" s="2">
        <v>45503</v>
      </c>
      <c r="C681" t="s">
        <v>40</v>
      </c>
      <c r="D681" t="s">
        <v>31</v>
      </c>
      <c r="E681" t="s">
        <v>14</v>
      </c>
      <c r="F681" t="s">
        <v>28</v>
      </c>
      <c r="G681" t="s">
        <v>36</v>
      </c>
      <c r="H681">
        <v>1</v>
      </c>
      <c r="I681" s="3">
        <v>78</v>
      </c>
      <c r="J681" s="3">
        <v>78</v>
      </c>
      <c r="K681" t="s">
        <v>25</v>
      </c>
      <c r="L681" t="s">
        <v>18</v>
      </c>
    </row>
    <row r="682" spans="1:12" x14ac:dyDescent="0.3">
      <c r="A682">
        <v>10466</v>
      </c>
      <c r="B682" s="2">
        <v>45504</v>
      </c>
      <c r="C682" t="s">
        <v>37</v>
      </c>
      <c r="D682" t="s">
        <v>31</v>
      </c>
      <c r="E682" t="s">
        <v>23</v>
      </c>
      <c r="F682" t="s">
        <v>38</v>
      </c>
      <c r="G682" t="s">
        <v>43</v>
      </c>
      <c r="H682">
        <v>1</v>
      </c>
      <c r="I682" s="3">
        <v>78</v>
      </c>
      <c r="J682" s="3">
        <v>78</v>
      </c>
      <c r="K682" t="s">
        <v>30</v>
      </c>
      <c r="L682" t="s">
        <v>27</v>
      </c>
    </row>
    <row r="683" spans="1:12" x14ac:dyDescent="0.3">
      <c r="A683">
        <v>10708</v>
      </c>
      <c r="B683" s="2">
        <v>45504</v>
      </c>
      <c r="C683" t="s">
        <v>12</v>
      </c>
      <c r="D683" t="s">
        <v>22</v>
      </c>
      <c r="E683" t="s">
        <v>23</v>
      </c>
      <c r="F683" t="s">
        <v>28</v>
      </c>
      <c r="G683" t="s">
        <v>34</v>
      </c>
      <c r="H683">
        <v>4</v>
      </c>
      <c r="I683" s="3">
        <v>89</v>
      </c>
      <c r="J683" s="3">
        <v>356</v>
      </c>
      <c r="K683" t="s">
        <v>17</v>
      </c>
      <c r="L683" t="s">
        <v>20</v>
      </c>
    </row>
    <row r="684" spans="1:12" x14ac:dyDescent="0.3">
      <c r="A684">
        <v>10029</v>
      </c>
      <c r="B684" s="2">
        <v>45506</v>
      </c>
      <c r="C684" t="s">
        <v>37</v>
      </c>
      <c r="D684" t="s">
        <v>26</v>
      </c>
      <c r="E684" t="s">
        <v>14</v>
      </c>
      <c r="F684" t="s">
        <v>15</v>
      </c>
      <c r="G684" t="s">
        <v>24</v>
      </c>
      <c r="H684">
        <v>1</v>
      </c>
      <c r="I684" s="3">
        <v>40</v>
      </c>
      <c r="J684" s="3">
        <v>40</v>
      </c>
      <c r="K684" t="s">
        <v>35</v>
      </c>
      <c r="L684" t="s">
        <v>20</v>
      </c>
    </row>
    <row r="685" spans="1:12" x14ac:dyDescent="0.3">
      <c r="A685">
        <v>10135</v>
      </c>
      <c r="B685" s="2">
        <v>45506</v>
      </c>
      <c r="C685" t="s">
        <v>21</v>
      </c>
      <c r="D685" t="s">
        <v>26</v>
      </c>
      <c r="E685" t="s">
        <v>14</v>
      </c>
      <c r="F685" t="s">
        <v>15</v>
      </c>
      <c r="G685" t="s">
        <v>24</v>
      </c>
      <c r="H685">
        <v>2</v>
      </c>
      <c r="I685" s="3">
        <v>116</v>
      </c>
      <c r="J685" s="3">
        <v>232</v>
      </c>
      <c r="K685" t="s">
        <v>35</v>
      </c>
      <c r="L685" t="s">
        <v>33</v>
      </c>
    </row>
    <row r="686" spans="1:12" x14ac:dyDescent="0.3">
      <c r="A686">
        <v>10209</v>
      </c>
      <c r="B686" s="2">
        <v>45506</v>
      </c>
      <c r="C686" t="s">
        <v>12</v>
      </c>
      <c r="D686" t="s">
        <v>42</v>
      </c>
      <c r="E686" t="s">
        <v>14</v>
      </c>
      <c r="F686" t="s">
        <v>28</v>
      </c>
      <c r="G686" t="s">
        <v>34</v>
      </c>
      <c r="H686">
        <v>4</v>
      </c>
      <c r="I686" s="3">
        <v>100</v>
      </c>
      <c r="J686" s="3">
        <v>400</v>
      </c>
      <c r="K686" t="s">
        <v>30</v>
      </c>
      <c r="L686" t="s">
        <v>27</v>
      </c>
    </row>
    <row r="687" spans="1:12" x14ac:dyDescent="0.3">
      <c r="A687">
        <v>10825</v>
      </c>
      <c r="B687" s="2">
        <v>45506</v>
      </c>
      <c r="C687" t="s">
        <v>21</v>
      </c>
      <c r="D687" t="s">
        <v>22</v>
      </c>
      <c r="E687" t="s">
        <v>23</v>
      </c>
      <c r="F687" t="s">
        <v>15</v>
      </c>
      <c r="G687" t="s">
        <v>16</v>
      </c>
      <c r="H687">
        <v>5</v>
      </c>
      <c r="I687" s="3">
        <v>95</v>
      </c>
      <c r="J687" s="3">
        <v>475</v>
      </c>
      <c r="K687" t="s">
        <v>35</v>
      </c>
      <c r="L687" t="s">
        <v>33</v>
      </c>
    </row>
    <row r="688" spans="1:12" x14ac:dyDescent="0.3">
      <c r="A688">
        <v>10881</v>
      </c>
      <c r="B688" s="2">
        <v>45506</v>
      </c>
      <c r="C688" t="s">
        <v>37</v>
      </c>
      <c r="D688" t="s">
        <v>13</v>
      </c>
      <c r="E688" t="s">
        <v>14</v>
      </c>
      <c r="F688" t="s">
        <v>15</v>
      </c>
      <c r="G688" t="s">
        <v>24</v>
      </c>
      <c r="H688">
        <v>3</v>
      </c>
      <c r="I688" s="3">
        <v>96</v>
      </c>
      <c r="J688" s="3">
        <v>288</v>
      </c>
      <c r="K688" t="s">
        <v>30</v>
      </c>
      <c r="L688" t="s">
        <v>18</v>
      </c>
    </row>
    <row r="689" spans="1:12" x14ac:dyDescent="0.3">
      <c r="A689">
        <v>11054</v>
      </c>
      <c r="B689" s="2">
        <v>45506</v>
      </c>
      <c r="C689" t="s">
        <v>21</v>
      </c>
      <c r="D689" t="s">
        <v>22</v>
      </c>
      <c r="E689" t="s">
        <v>23</v>
      </c>
      <c r="F689" t="s">
        <v>28</v>
      </c>
      <c r="G689" t="s">
        <v>36</v>
      </c>
      <c r="H689">
        <v>2</v>
      </c>
      <c r="I689" s="3">
        <v>118</v>
      </c>
      <c r="J689" s="3">
        <v>236</v>
      </c>
      <c r="K689" t="s">
        <v>17</v>
      </c>
      <c r="L689" t="s">
        <v>20</v>
      </c>
    </row>
    <row r="690" spans="1:12" x14ac:dyDescent="0.3">
      <c r="A690">
        <v>10066</v>
      </c>
      <c r="B690" s="2">
        <v>45507</v>
      </c>
      <c r="C690" t="s">
        <v>21</v>
      </c>
      <c r="D690" t="s">
        <v>31</v>
      </c>
      <c r="E690" t="s">
        <v>23</v>
      </c>
      <c r="F690" t="s">
        <v>15</v>
      </c>
      <c r="G690" t="s">
        <v>24</v>
      </c>
      <c r="H690">
        <v>3</v>
      </c>
      <c r="I690" s="3">
        <v>23</v>
      </c>
      <c r="J690" s="3">
        <v>69</v>
      </c>
      <c r="K690" t="s">
        <v>35</v>
      </c>
      <c r="L690" t="s">
        <v>27</v>
      </c>
    </row>
    <row r="691" spans="1:12" x14ac:dyDescent="0.3">
      <c r="A691">
        <v>10867</v>
      </c>
      <c r="B691" s="2">
        <v>45507</v>
      </c>
      <c r="C691" t="s">
        <v>21</v>
      </c>
      <c r="D691" t="s">
        <v>26</v>
      </c>
      <c r="E691" t="s">
        <v>14</v>
      </c>
      <c r="F691" t="s">
        <v>15</v>
      </c>
      <c r="G691" t="s">
        <v>16</v>
      </c>
      <c r="H691">
        <v>1</v>
      </c>
      <c r="I691" s="3">
        <v>91</v>
      </c>
      <c r="J691" s="3">
        <v>91</v>
      </c>
      <c r="K691" t="s">
        <v>30</v>
      </c>
      <c r="L691" t="s">
        <v>20</v>
      </c>
    </row>
    <row r="692" spans="1:12" x14ac:dyDescent="0.3">
      <c r="A692">
        <v>11163</v>
      </c>
      <c r="B692" s="2">
        <v>45507</v>
      </c>
      <c r="C692" t="s">
        <v>21</v>
      </c>
      <c r="D692" t="s">
        <v>42</v>
      </c>
      <c r="E692" t="s">
        <v>14</v>
      </c>
      <c r="F692" t="s">
        <v>38</v>
      </c>
      <c r="G692" t="s">
        <v>39</v>
      </c>
      <c r="H692">
        <v>4</v>
      </c>
      <c r="I692" s="3">
        <v>139</v>
      </c>
      <c r="J692" s="3">
        <v>556</v>
      </c>
      <c r="K692" t="s">
        <v>17</v>
      </c>
      <c r="L692" t="s">
        <v>18</v>
      </c>
    </row>
    <row r="693" spans="1:12" x14ac:dyDescent="0.3">
      <c r="A693">
        <v>10370</v>
      </c>
      <c r="B693" s="2">
        <v>45508</v>
      </c>
      <c r="C693" t="s">
        <v>40</v>
      </c>
      <c r="D693" t="s">
        <v>42</v>
      </c>
      <c r="E693" t="s">
        <v>14</v>
      </c>
      <c r="F693" t="s">
        <v>28</v>
      </c>
      <c r="G693" t="s">
        <v>34</v>
      </c>
      <c r="H693">
        <v>2</v>
      </c>
      <c r="I693" s="3">
        <v>30</v>
      </c>
      <c r="J693" s="3">
        <v>60</v>
      </c>
      <c r="K693" t="s">
        <v>32</v>
      </c>
      <c r="L693" t="s">
        <v>33</v>
      </c>
    </row>
    <row r="694" spans="1:12" x14ac:dyDescent="0.3">
      <c r="A694">
        <v>10760</v>
      </c>
      <c r="B694" s="2">
        <v>45508</v>
      </c>
      <c r="C694" t="s">
        <v>12</v>
      </c>
      <c r="D694" t="s">
        <v>13</v>
      </c>
      <c r="E694" t="s">
        <v>14</v>
      </c>
      <c r="F694" t="s">
        <v>15</v>
      </c>
      <c r="G694" t="s">
        <v>24</v>
      </c>
      <c r="H694">
        <v>4</v>
      </c>
      <c r="I694" s="3">
        <v>80</v>
      </c>
      <c r="J694" s="3">
        <v>320</v>
      </c>
      <c r="K694" t="s">
        <v>32</v>
      </c>
      <c r="L694" t="s">
        <v>20</v>
      </c>
    </row>
    <row r="695" spans="1:12" x14ac:dyDescent="0.3">
      <c r="A695">
        <v>10969</v>
      </c>
      <c r="B695" s="2">
        <v>45508</v>
      </c>
      <c r="C695" t="s">
        <v>37</v>
      </c>
      <c r="D695" t="s">
        <v>26</v>
      </c>
      <c r="E695" t="s">
        <v>14</v>
      </c>
      <c r="F695" t="s">
        <v>15</v>
      </c>
      <c r="G695" t="s">
        <v>24</v>
      </c>
      <c r="H695">
        <v>2</v>
      </c>
      <c r="I695" s="3">
        <v>119</v>
      </c>
      <c r="J695" s="3">
        <v>238</v>
      </c>
      <c r="K695" t="s">
        <v>17</v>
      </c>
      <c r="L695" t="s">
        <v>20</v>
      </c>
    </row>
    <row r="696" spans="1:12" x14ac:dyDescent="0.3">
      <c r="A696">
        <v>11062</v>
      </c>
      <c r="B696" s="2">
        <v>45508</v>
      </c>
      <c r="C696" t="s">
        <v>21</v>
      </c>
      <c r="D696" t="s">
        <v>22</v>
      </c>
      <c r="E696" t="s">
        <v>23</v>
      </c>
      <c r="F696" t="s">
        <v>15</v>
      </c>
      <c r="G696" t="s">
        <v>16</v>
      </c>
      <c r="H696">
        <v>1</v>
      </c>
      <c r="I696" s="3">
        <v>121</v>
      </c>
      <c r="J696" s="3">
        <v>121</v>
      </c>
      <c r="K696" t="s">
        <v>17</v>
      </c>
      <c r="L696" t="s">
        <v>33</v>
      </c>
    </row>
    <row r="697" spans="1:12" x14ac:dyDescent="0.3">
      <c r="A697">
        <v>10294</v>
      </c>
      <c r="B697" s="2">
        <v>45509</v>
      </c>
      <c r="C697" t="s">
        <v>40</v>
      </c>
      <c r="D697" t="s">
        <v>13</v>
      </c>
      <c r="E697" t="s">
        <v>23</v>
      </c>
      <c r="F697" t="s">
        <v>15</v>
      </c>
      <c r="G697" t="s">
        <v>16</v>
      </c>
      <c r="H697">
        <v>4</v>
      </c>
      <c r="I697" s="3">
        <v>75</v>
      </c>
      <c r="J697" s="3">
        <v>300</v>
      </c>
      <c r="K697" t="s">
        <v>25</v>
      </c>
      <c r="L697" t="s">
        <v>27</v>
      </c>
    </row>
    <row r="698" spans="1:12" x14ac:dyDescent="0.3">
      <c r="A698">
        <v>10475</v>
      </c>
      <c r="B698" s="2">
        <v>45509</v>
      </c>
      <c r="C698" t="s">
        <v>12</v>
      </c>
      <c r="D698" t="s">
        <v>26</v>
      </c>
      <c r="E698" t="s">
        <v>23</v>
      </c>
      <c r="F698" t="s">
        <v>38</v>
      </c>
      <c r="G698" t="s">
        <v>39</v>
      </c>
      <c r="H698">
        <v>5</v>
      </c>
      <c r="I698" s="3">
        <v>45</v>
      </c>
      <c r="J698" s="3">
        <v>225</v>
      </c>
      <c r="K698" t="s">
        <v>32</v>
      </c>
      <c r="L698" t="s">
        <v>18</v>
      </c>
    </row>
    <row r="699" spans="1:12" x14ac:dyDescent="0.3">
      <c r="A699">
        <v>10721</v>
      </c>
      <c r="B699" s="2">
        <v>45509</v>
      </c>
      <c r="C699" t="s">
        <v>40</v>
      </c>
      <c r="D699" t="s">
        <v>31</v>
      </c>
      <c r="E699" t="s">
        <v>14</v>
      </c>
      <c r="F699" t="s">
        <v>28</v>
      </c>
      <c r="G699" t="s">
        <v>34</v>
      </c>
      <c r="H699">
        <v>2</v>
      </c>
      <c r="I699" s="3">
        <v>40</v>
      </c>
      <c r="J699" s="3">
        <v>80</v>
      </c>
      <c r="K699" t="s">
        <v>30</v>
      </c>
      <c r="L699" t="s">
        <v>27</v>
      </c>
    </row>
    <row r="700" spans="1:12" x14ac:dyDescent="0.3">
      <c r="A700">
        <v>10593</v>
      </c>
      <c r="B700" s="2">
        <v>45510</v>
      </c>
      <c r="C700" t="s">
        <v>37</v>
      </c>
      <c r="D700" t="s">
        <v>26</v>
      </c>
      <c r="E700" t="s">
        <v>23</v>
      </c>
      <c r="F700" t="s">
        <v>38</v>
      </c>
      <c r="G700" t="s">
        <v>43</v>
      </c>
      <c r="H700">
        <v>5</v>
      </c>
      <c r="I700" s="3">
        <v>93</v>
      </c>
      <c r="J700" s="3">
        <v>465</v>
      </c>
      <c r="K700" t="s">
        <v>32</v>
      </c>
      <c r="L700" t="s">
        <v>27</v>
      </c>
    </row>
    <row r="701" spans="1:12" x14ac:dyDescent="0.3">
      <c r="A701">
        <v>10311</v>
      </c>
      <c r="B701" s="2">
        <v>45511</v>
      </c>
      <c r="C701" t="s">
        <v>37</v>
      </c>
      <c r="D701" t="s">
        <v>13</v>
      </c>
      <c r="E701" t="s">
        <v>14</v>
      </c>
      <c r="F701" t="s">
        <v>28</v>
      </c>
      <c r="G701" t="s">
        <v>36</v>
      </c>
      <c r="H701">
        <v>4</v>
      </c>
      <c r="I701" s="3">
        <v>109</v>
      </c>
      <c r="J701" s="3">
        <v>436</v>
      </c>
      <c r="K701" t="s">
        <v>35</v>
      </c>
      <c r="L701" t="s">
        <v>18</v>
      </c>
    </row>
    <row r="702" spans="1:12" x14ac:dyDescent="0.3">
      <c r="A702">
        <v>10454</v>
      </c>
      <c r="B702" s="2">
        <v>45511</v>
      </c>
      <c r="C702" t="s">
        <v>12</v>
      </c>
      <c r="D702" t="s">
        <v>31</v>
      </c>
      <c r="E702" t="s">
        <v>23</v>
      </c>
      <c r="F702" t="s">
        <v>15</v>
      </c>
      <c r="G702" t="s">
        <v>24</v>
      </c>
      <c r="H702">
        <v>3</v>
      </c>
      <c r="I702" s="3">
        <v>100</v>
      </c>
      <c r="J702" s="3">
        <v>300</v>
      </c>
      <c r="K702" t="s">
        <v>32</v>
      </c>
      <c r="L702" t="s">
        <v>20</v>
      </c>
    </row>
    <row r="703" spans="1:12" x14ac:dyDescent="0.3">
      <c r="A703">
        <v>10044</v>
      </c>
      <c r="B703" s="2">
        <v>45512</v>
      </c>
      <c r="C703" t="s">
        <v>40</v>
      </c>
      <c r="D703" t="s">
        <v>26</v>
      </c>
      <c r="E703" t="s">
        <v>23</v>
      </c>
      <c r="F703" t="s">
        <v>15</v>
      </c>
      <c r="G703" t="s">
        <v>24</v>
      </c>
      <c r="H703">
        <v>2</v>
      </c>
      <c r="I703" s="3">
        <v>113</v>
      </c>
      <c r="J703" s="3">
        <v>226</v>
      </c>
      <c r="K703" t="s">
        <v>25</v>
      </c>
      <c r="L703" t="s">
        <v>33</v>
      </c>
    </row>
    <row r="704" spans="1:12" x14ac:dyDescent="0.3">
      <c r="A704">
        <v>10140</v>
      </c>
      <c r="B704" s="2">
        <v>45512</v>
      </c>
      <c r="C704" t="s">
        <v>12</v>
      </c>
      <c r="D704" t="s">
        <v>13</v>
      </c>
      <c r="E704" t="s">
        <v>23</v>
      </c>
      <c r="F704" t="s">
        <v>38</v>
      </c>
      <c r="G704" t="s">
        <v>41</v>
      </c>
      <c r="H704">
        <v>1</v>
      </c>
      <c r="I704" s="3">
        <v>147</v>
      </c>
      <c r="J704" s="3">
        <v>147</v>
      </c>
      <c r="K704" t="s">
        <v>17</v>
      </c>
      <c r="L704" t="s">
        <v>20</v>
      </c>
    </row>
    <row r="705" spans="1:12" x14ac:dyDescent="0.3">
      <c r="A705">
        <v>10201</v>
      </c>
      <c r="B705" s="2">
        <v>45512</v>
      </c>
      <c r="C705" t="s">
        <v>12</v>
      </c>
      <c r="D705" t="s">
        <v>26</v>
      </c>
      <c r="E705" t="s">
        <v>23</v>
      </c>
      <c r="F705" t="s">
        <v>38</v>
      </c>
      <c r="G705" t="s">
        <v>43</v>
      </c>
      <c r="H705">
        <v>1</v>
      </c>
      <c r="I705" s="3">
        <v>47</v>
      </c>
      <c r="J705" s="3">
        <v>47</v>
      </c>
      <c r="K705" t="s">
        <v>30</v>
      </c>
      <c r="L705" t="s">
        <v>33</v>
      </c>
    </row>
    <row r="706" spans="1:12" x14ac:dyDescent="0.3">
      <c r="A706">
        <v>10277</v>
      </c>
      <c r="B706" s="2">
        <v>45512</v>
      </c>
      <c r="C706" t="s">
        <v>40</v>
      </c>
      <c r="D706" t="s">
        <v>31</v>
      </c>
      <c r="E706" t="s">
        <v>14</v>
      </c>
      <c r="F706" t="s">
        <v>15</v>
      </c>
      <c r="G706" t="s">
        <v>24</v>
      </c>
      <c r="H706">
        <v>4</v>
      </c>
      <c r="I706" s="3">
        <v>104</v>
      </c>
      <c r="J706" s="3">
        <v>416</v>
      </c>
      <c r="K706" t="s">
        <v>35</v>
      </c>
      <c r="L706" t="s">
        <v>20</v>
      </c>
    </row>
    <row r="707" spans="1:12" x14ac:dyDescent="0.3">
      <c r="A707">
        <v>10570</v>
      </c>
      <c r="B707" s="2">
        <v>45512</v>
      </c>
      <c r="C707" t="s">
        <v>12</v>
      </c>
      <c r="D707" t="s">
        <v>22</v>
      </c>
      <c r="E707" t="s">
        <v>14</v>
      </c>
      <c r="F707" t="s">
        <v>28</v>
      </c>
      <c r="G707" t="s">
        <v>29</v>
      </c>
      <c r="H707">
        <v>5</v>
      </c>
      <c r="I707" s="3">
        <v>54</v>
      </c>
      <c r="J707" s="3">
        <v>270</v>
      </c>
      <c r="K707" t="s">
        <v>35</v>
      </c>
      <c r="L707" t="s">
        <v>18</v>
      </c>
    </row>
    <row r="708" spans="1:12" x14ac:dyDescent="0.3">
      <c r="A708">
        <v>10262</v>
      </c>
      <c r="B708" s="2">
        <v>45513</v>
      </c>
      <c r="C708" t="s">
        <v>12</v>
      </c>
      <c r="D708" t="s">
        <v>22</v>
      </c>
      <c r="E708" t="s">
        <v>23</v>
      </c>
      <c r="F708" t="s">
        <v>38</v>
      </c>
      <c r="G708" t="s">
        <v>41</v>
      </c>
      <c r="H708">
        <v>3</v>
      </c>
      <c r="I708" s="3">
        <v>116</v>
      </c>
      <c r="J708" s="3">
        <v>348</v>
      </c>
      <c r="K708" t="s">
        <v>25</v>
      </c>
      <c r="L708" t="s">
        <v>33</v>
      </c>
    </row>
    <row r="709" spans="1:12" x14ac:dyDescent="0.3">
      <c r="A709">
        <v>11171</v>
      </c>
      <c r="B709" s="2">
        <v>45513</v>
      </c>
      <c r="C709" t="s">
        <v>12</v>
      </c>
      <c r="D709" t="s">
        <v>31</v>
      </c>
      <c r="E709" t="s">
        <v>14</v>
      </c>
      <c r="F709" t="s">
        <v>15</v>
      </c>
      <c r="G709" t="s">
        <v>24</v>
      </c>
      <c r="H709">
        <v>4</v>
      </c>
      <c r="I709" s="3">
        <v>51</v>
      </c>
      <c r="J709" s="3">
        <v>204</v>
      </c>
      <c r="K709" t="s">
        <v>32</v>
      </c>
      <c r="L709" t="s">
        <v>20</v>
      </c>
    </row>
    <row r="710" spans="1:12" x14ac:dyDescent="0.3">
      <c r="A710">
        <v>10622</v>
      </c>
      <c r="B710" s="2">
        <v>45514</v>
      </c>
      <c r="C710" t="s">
        <v>37</v>
      </c>
      <c r="D710" t="s">
        <v>31</v>
      </c>
      <c r="E710" t="s">
        <v>14</v>
      </c>
      <c r="F710" t="s">
        <v>15</v>
      </c>
      <c r="G710" t="s">
        <v>19</v>
      </c>
      <c r="H710">
        <v>3</v>
      </c>
      <c r="I710" s="3">
        <v>97</v>
      </c>
      <c r="J710" s="3">
        <v>291</v>
      </c>
      <c r="K710" t="s">
        <v>17</v>
      </c>
      <c r="L710" t="s">
        <v>27</v>
      </c>
    </row>
    <row r="711" spans="1:12" x14ac:dyDescent="0.3">
      <c r="A711">
        <v>10783</v>
      </c>
      <c r="B711" s="2">
        <v>45515</v>
      </c>
      <c r="C711" t="s">
        <v>12</v>
      </c>
      <c r="D711" t="s">
        <v>26</v>
      </c>
      <c r="E711" t="s">
        <v>23</v>
      </c>
      <c r="F711" t="s">
        <v>15</v>
      </c>
      <c r="G711" t="s">
        <v>19</v>
      </c>
      <c r="H711">
        <v>5</v>
      </c>
      <c r="I711" s="3">
        <v>100</v>
      </c>
      <c r="J711" s="3">
        <v>500</v>
      </c>
      <c r="K711" t="s">
        <v>32</v>
      </c>
      <c r="L711" t="s">
        <v>27</v>
      </c>
    </row>
    <row r="712" spans="1:12" x14ac:dyDescent="0.3">
      <c r="A712">
        <v>10159</v>
      </c>
      <c r="B712" s="2">
        <v>45516</v>
      </c>
      <c r="C712" t="s">
        <v>40</v>
      </c>
      <c r="D712" t="s">
        <v>42</v>
      </c>
      <c r="E712" t="s">
        <v>23</v>
      </c>
      <c r="F712" t="s">
        <v>28</v>
      </c>
      <c r="G712" t="s">
        <v>34</v>
      </c>
      <c r="H712">
        <v>2</v>
      </c>
      <c r="I712" s="3">
        <v>62</v>
      </c>
      <c r="J712" s="3">
        <v>124</v>
      </c>
      <c r="K712" t="s">
        <v>32</v>
      </c>
      <c r="L712" t="s">
        <v>27</v>
      </c>
    </row>
    <row r="713" spans="1:12" x14ac:dyDescent="0.3">
      <c r="A713">
        <v>10237</v>
      </c>
      <c r="B713" s="2">
        <v>45516</v>
      </c>
      <c r="C713" t="s">
        <v>12</v>
      </c>
      <c r="D713" t="s">
        <v>22</v>
      </c>
      <c r="E713" t="s">
        <v>14</v>
      </c>
      <c r="F713" t="s">
        <v>28</v>
      </c>
      <c r="G713" t="s">
        <v>36</v>
      </c>
      <c r="H713">
        <v>1</v>
      </c>
      <c r="I713" s="3">
        <v>122</v>
      </c>
      <c r="J713" s="3">
        <v>122</v>
      </c>
      <c r="K713" t="s">
        <v>25</v>
      </c>
      <c r="L713" t="s">
        <v>20</v>
      </c>
    </row>
    <row r="714" spans="1:12" x14ac:dyDescent="0.3">
      <c r="A714">
        <v>10531</v>
      </c>
      <c r="B714" s="2">
        <v>45516</v>
      </c>
      <c r="C714" t="s">
        <v>12</v>
      </c>
      <c r="D714" t="s">
        <v>31</v>
      </c>
      <c r="E714" t="s">
        <v>23</v>
      </c>
      <c r="F714" t="s">
        <v>28</v>
      </c>
      <c r="G714" t="s">
        <v>29</v>
      </c>
      <c r="H714">
        <v>5</v>
      </c>
      <c r="I714" s="3">
        <v>108</v>
      </c>
      <c r="J714" s="3">
        <v>540</v>
      </c>
      <c r="K714" t="s">
        <v>35</v>
      </c>
      <c r="L714" t="s">
        <v>20</v>
      </c>
    </row>
    <row r="715" spans="1:12" x14ac:dyDescent="0.3">
      <c r="A715">
        <v>10919</v>
      </c>
      <c r="B715" s="2">
        <v>45516</v>
      </c>
      <c r="C715" t="s">
        <v>12</v>
      </c>
      <c r="D715" t="s">
        <v>42</v>
      </c>
      <c r="E715" t="s">
        <v>23</v>
      </c>
      <c r="F715" t="s">
        <v>28</v>
      </c>
      <c r="G715" t="s">
        <v>34</v>
      </c>
      <c r="H715">
        <v>5</v>
      </c>
      <c r="I715" s="3">
        <v>82</v>
      </c>
      <c r="J715" s="3">
        <v>410</v>
      </c>
      <c r="K715" t="s">
        <v>32</v>
      </c>
      <c r="L715" t="s">
        <v>20</v>
      </c>
    </row>
    <row r="716" spans="1:12" x14ac:dyDescent="0.3">
      <c r="A716">
        <v>11011</v>
      </c>
      <c r="B716" s="2">
        <v>45516</v>
      </c>
      <c r="C716" t="s">
        <v>21</v>
      </c>
      <c r="D716" t="s">
        <v>13</v>
      </c>
      <c r="E716" t="s">
        <v>14</v>
      </c>
      <c r="F716" t="s">
        <v>28</v>
      </c>
      <c r="G716" t="s">
        <v>36</v>
      </c>
      <c r="H716">
        <v>3</v>
      </c>
      <c r="I716" s="3">
        <v>47</v>
      </c>
      <c r="J716" s="3">
        <v>141</v>
      </c>
      <c r="K716" t="s">
        <v>35</v>
      </c>
      <c r="L716" t="s">
        <v>27</v>
      </c>
    </row>
    <row r="717" spans="1:12" x14ac:dyDescent="0.3">
      <c r="A717">
        <v>10195</v>
      </c>
      <c r="B717" s="2">
        <v>45517</v>
      </c>
      <c r="C717" t="s">
        <v>21</v>
      </c>
      <c r="D717" t="s">
        <v>42</v>
      </c>
      <c r="E717" t="s">
        <v>23</v>
      </c>
      <c r="F717" t="s">
        <v>38</v>
      </c>
      <c r="G717" t="s">
        <v>41</v>
      </c>
      <c r="H717">
        <v>1</v>
      </c>
      <c r="I717" s="3">
        <v>60</v>
      </c>
      <c r="J717" s="3">
        <v>60</v>
      </c>
      <c r="K717" t="s">
        <v>32</v>
      </c>
      <c r="L717" t="s">
        <v>33</v>
      </c>
    </row>
    <row r="718" spans="1:12" x14ac:dyDescent="0.3">
      <c r="A718">
        <v>10697</v>
      </c>
      <c r="B718" s="2">
        <v>45517</v>
      </c>
      <c r="C718" t="s">
        <v>37</v>
      </c>
      <c r="D718" t="s">
        <v>26</v>
      </c>
      <c r="E718" t="s">
        <v>14</v>
      </c>
      <c r="F718" t="s">
        <v>28</v>
      </c>
      <c r="G718" t="s">
        <v>29</v>
      </c>
      <c r="H718">
        <v>5</v>
      </c>
      <c r="I718" s="3">
        <v>52</v>
      </c>
      <c r="J718" s="3">
        <v>260</v>
      </c>
      <c r="K718" t="s">
        <v>32</v>
      </c>
      <c r="L718" t="s">
        <v>18</v>
      </c>
    </row>
    <row r="719" spans="1:12" x14ac:dyDescent="0.3">
      <c r="A719">
        <v>10921</v>
      </c>
      <c r="B719" s="2">
        <v>45517</v>
      </c>
      <c r="C719" t="s">
        <v>37</v>
      </c>
      <c r="D719" t="s">
        <v>13</v>
      </c>
      <c r="E719" t="s">
        <v>14</v>
      </c>
      <c r="F719" t="s">
        <v>15</v>
      </c>
      <c r="G719" t="s">
        <v>16</v>
      </c>
      <c r="H719">
        <v>3</v>
      </c>
      <c r="I719" s="3">
        <v>59</v>
      </c>
      <c r="J719" s="3">
        <v>177</v>
      </c>
      <c r="K719" t="s">
        <v>25</v>
      </c>
      <c r="L719" t="s">
        <v>20</v>
      </c>
    </row>
    <row r="720" spans="1:12" x14ac:dyDescent="0.3">
      <c r="A720">
        <v>10047</v>
      </c>
      <c r="B720" s="2">
        <v>45518</v>
      </c>
      <c r="C720" t="s">
        <v>21</v>
      </c>
      <c r="D720" t="s">
        <v>13</v>
      </c>
      <c r="E720" t="s">
        <v>23</v>
      </c>
      <c r="F720" t="s">
        <v>15</v>
      </c>
      <c r="G720" t="s">
        <v>24</v>
      </c>
      <c r="H720">
        <v>3</v>
      </c>
      <c r="I720" s="3">
        <v>139</v>
      </c>
      <c r="J720" s="3">
        <v>417</v>
      </c>
      <c r="K720" t="s">
        <v>32</v>
      </c>
      <c r="L720" t="s">
        <v>18</v>
      </c>
    </row>
    <row r="721" spans="1:12" x14ac:dyDescent="0.3">
      <c r="A721">
        <v>10052</v>
      </c>
      <c r="B721" s="2">
        <v>45518</v>
      </c>
      <c r="C721" t="s">
        <v>21</v>
      </c>
      <c r="D721" t="s">
        <v>22</v>
      </c>
      <c r="E721" t="s">
        <v>23</v>
      </c>
      <c r="F721" t="s">
        <v>15</v>
      </c>
      <c r="G721" t="s">
        <v>24</v>
      </c>
      <c r="H721">
        <v>5</v>
      </c>
      <c r="I721" s="3">
        <v>101</v>
      </c>
      <c r="J721" s="3">
        <v>505</v>
      </c>
      <c r="K721" t="s">
        <v>32</v>
      </c>
      <c r="L721" t="s">
        <v>27</v>
      </c>
    </row>
    <row r="722" spans="1:12" x14ac:dyDescent="0.3">
      <c r="A722">
        <v>10214</v>
      </c>
      <c r="B722" s="2">
        <v>45518</v>
      </c>
      <c r="C722" t="s">
        <v>37</v>
      </c>
      <c r="D722" t="s">
        <v>42</v>
      </c>
      <c r="E722" t="s">
        <v>14</v>
      </c>
      <c r="F722" t="s">
        <v>28</v>
      </c>
      <c r="G722" t="s">
        <v>29</v>
      </c>
      <c r="H722">
        <v>1</v>
      </c>
      <c r="I722" s="3">
        <v>108</v>
      </c>
      <c r="J722" s="3">
        <v>108</v>
      </c>
      <c r="K722" t="s">
        <v>32</v>
      </c>
      <c r="L722" t="s">
        <v>33</v>
      </c>
    </row>
    <row r="723" spans="1:12" x14ac:dyDescent="0.3">
      <c r="A723">
        <v>10525</v>
      </c>
      <c r="B723" s="2">
        <v>45518</v>
      </c>
      <c r="C723" t="s">
        <v>12</v>
      </c>
      <c r="D723" t="s">
        <v>31</v>
      </c>
      <c r="E723" t="s">
        <v>14</v>
      </c>
      <c r="F723" t="s">
        <v>28</v>
      </c>
      <c r="G723" t="s">
        <v>34</v>
      </c>
      <c r="H723">
        <v>2</v>
      </c>
      <c r="I723" s="3">
        <v>118</v>
      </c>
      <c r="J723" s="3">
        <v>236</v>
      </c>
      <c r="K723" t="s">
        <v>30</v>
      </c>
      <c r="L723" t="s">
        <v>18</v>
      </c>
    </row>
    <row r="724" spans="1:12" x14ac:dyDescent="0.3">
      <c r="A724">
        <v>10650</v>
      </c>
      <c r="B724" s="2">
        <v>45518</v>
      </c>
      <c r="C724" t="s">
        <v>37</v>
      </c>
      <c r="D724" t="s">
        <v>31</v>
      </c>
      <c r="E724" t="s">
        <v>14</v>
      </c>
      <c r="F724" t="s">
        <v>15</v>
      </c>
      <c r="G724" t="s">
        <v>19</v>
      </c>
      <c r="H724">
        <v>2</v>
      </c>
      <c r="I724" s="3">
        <v>47</v>
      </c>
      <c r="J724" s="3">
        <v>94</v>
      </c>
      <c r="K724" t="s">
        <v>25</v>
      </c>
      <c r="L724" t="s">
        <v>18</v>
      </c>
    </row>
    <row r="725" spans="1:12" x14ac:dyDescent="0.3">
      <c r="A725">
        <v>10706</v>
      </c>
      <c r="B725" s="2">
        <v>45518</v>
      </c>
      <c r="C725" t="s">
        <v>37</v>
      </c>
      <c r="D725" t="s">
        <v>13</v>
      </c>
      <c r="E725" t="s">
        <v>23</v>
      </c>
      <c r="F725" t="s">
        <v>28</v>
      </c>
      <c r="G725" t="s">
        <v>36</v>
      </c>
      <c r="H725">
        <v>4</v>
      </c>
      <c r="I725" s="3">
        <v>126</v>
      </c>
      <c r="J725" s="3">
        <v>504</v>
      </c>
      <c r="K725" t="s">
        <v>30</v>
      </c>
      <c r="L725" t="s">
        <v>20</v>
      </c>
    </row>
    <row r="726" spans="1:12" x14ac:dyDescent="0.3">
      <c r="A726">
        <v>10118</v>
      </c>
      <c r="B726" s="2">
        <v>45519</v>
      </c>
      <c r="C726" t="s">
        <v>12</v>
      </c>
      <c r="D726" t="s">
        <v>26</v>
      </c>
      <c r="E726" t="s">
        <v>14</v>
      </c>
      <c r="F726" t="s">
        <v>15</v>
      </c>
      <c r="G726" t="s">
        <v>19</v>
      </c>
      <c r="H726">
        <v>2</v>
      </c>
      <c r="I726" s="3">
        <v>133</v>
      </c>
      <c r="J726" s="3">
        <v>266</v>
      </c>
      <c r="K726" t="s">
        <v>35</v>
      </c>
      <c r="L726" t="s">
        <v>33</v>
      </c>
    </row>
    <row r="727" spans="1:12" x14ac:dyDescent="0.3">
      <c r="A727">
        <v>10278</v>
      </c>
      <c r="B727" s="2">
        <v>45520</v>
      </c>
      <c r="C727" t="s">
        <v>37</v>
      </c>
      <c r="D727" t="s">
        <v>42</v>
      </c>
      <c r="E727" t="s">
        <v>23</v>
      </c>
      <c r="F727" t="s">
        <v>15</v>
      </c>
      <c r="G727" t="s">
        <v>24</v>
      </c>
      <c r="H727">
        <v>5</v>
      </c>
      <c r="I727" s="3">
        <v>76</v>
      </c>
      <c r="J727" s="3">
        <v>380</v>
      </c>
      <c r="K727" t="s">
        <v>17</v>
      </c>
      <c r="L727" t="s">
        <v>20</v>
      </c>
    </row>
    <row r="728" spans="1:12" x14ac:dyDescent="0.3">
      <c r="A728">
        <v>10166</v>
      </c>
      <c r="B728" s="2">
        <v>45521</v>
      </c>
      <c r="C728" t="s">
        <v>40</v>
      </c>
      <c r="D728" t="s">
        <v>31</v>
      </c>
      <c r="E728" t="s">
        <v>14</v>
      </c>
      <c r="F728" t="s">
        <v>38</v>
      </c>
      <c r="G728" t="s">
        <v>43</v>
      </c>
      <c r="H728">
        <v>2</v>
      </c>
      <c r="I728" s="3">
        <v>140</v>
      </c>
      <c r="J728" s="3">
        <v>280</v>
      </c>
      <c r="K728" t="s">
        <v>35</v>
      </c>
      <c r="L728" t="s">
        <v>20</v>
      </c>
    </row>
    <row r="729" spans="1:12" x14ac:dyDescent="0.3">
      <c r="A729">
        <v>10569</v>
      </c>
      <c r="B729" s="2">
        <v>45521</v>
      </c>
      <c r="C729" t="s">
        <v>12</v>
      </c>
      <c r="D729" t="s">
        <v>13</v>
      </c>
      <c r="E729" t="s">
        <v>14</v>
      </c>
      <c r="F729" t="s">
        <v>38</v>
      </c>
      <c r="G729" t="s">
        <v>39</v>
      </c>
      <c r="H729">
        <v>5</v>
      </c>
      <c r="I729" s="3">
        <v>104</v>
      </c>
      <c r="J729" s="3">
        <v>520</v>
      </c>
      <c r="K729" t="s">
        <v>17</v>
      </c>
      <c r="L729" t="s">
        <v>20</v>
      </c>
    </row>
    <row r="730" spans="1:12" x14ac:dyDescent="0.3">
      <c r="A730">
        <v>10163</v>
      </c>
      <c r="B730" s="2">
        <v>45522</v>
      </c>
      <c r="C730" t="s">
        <v>12</v>
      </c>
      <c r="D730" t="s">
        <v>42</v>
      </c>
      <c r="E730" t="s">
        <v>14</v>
      </c>
      <c r="F730" t="s">
        <v>38</v>
      </c>
      <c r="G730" t="s">
        <v>41</v>
      </c>
      <c r="H730">
        <v>2</v>
      </c>
      <c r="I730" s="3">
        <v>89</v>
      </c>
      <c r="J730" s="3">
        <v>178</v>
      </c>
      <c r="K730" t="s">
        <v>32</v>
      </c>
      <c r="L730" t="s">
        <v>27</v>
      </c>
    </row>
    <row r="731" spans="1:12" x14ac:dyDescent="0.3">
      <c r="A731">
        <v>10560</v>
      </c>
      <c r="B731" s="2">
        <v>45522</v>
      </c>
      <c r="C731" t="s">
        <v>21</v>
      </c>
      <c r="D731" t="s">
        <v>31</v>
      </c>
      <c r="E731" t="s">
        <v>23</v>
      </c>
      <c r="F731" t="s">
        <v>38</v>
      </c>
      <c r="G731" t="s">
        <v>43</v>
      </c>
      <c r="H731">
        <v>1</v>
      </c>
      <c r="I731" s="3">
        <v>98</v>
      </c>
      <c r="J731" s="3">
        <v>98</v>
      </c>
      <c r="K731" t="s">
        <v>32</v>
      </c>
      <c r="L731" t="s">
        <v>20</v>
      </c>
    </row>
    <row r="732" spans="1:12" x14ac:dyDescent="0.3">
      <c r="A732">
        <v>10738</v>
      </c>
      <c r="B732" s="2">
        <v>45522</v>
      </c>
      <c r="C732" t="s">
        <v>37</v>
      </c>
      <c r="D732" t="s">
        <v>42</v>
      </c>
      <c r="E732" t="s">
        <v>23</v>
      </c>
      <c r="F732" t="s">
        <v>28</v>
      </c>
      <c r="G732" t="s">
        <v>29</v>
      </c>
      <c r="H732">
        <v>1</v>
      </c>
      <c r="I732" s="3">
        <v>118</v>
      </c>
      <c r="J732" s="3">
        <v>118</v>
      </c>
      <c r="K732" t="s">
        <v>30</v>
      </c>
      <c r="L732" t="s">
        <v>18</v>
      </c>
    </row>
    <row r="733" spans="1:12" x14ac:dyDescent="0.3">
      <c r="A733">
        <v>11078</v>
      </c>
      <c r="B733" s="2">
        <v>45522</v>
      </c>
      <c r="C733" t="s">
        <v>37</v>
      </c>
      <c r="D733" t="s">
        <v>31</v>
      </c>
      <c r="E733" t="s">
        <v>14</v>
      </c>
      <c r="F733" t="s">
        <v>38</v>
      </c>
      <c r="G733" t="s">
        <v>41</v>
      </c>
      <c r="H733">
        <v>4</v>
      </c>
      <c r="I733" s="3">
        <v>149</v>
      </c>
      <c r="J733" s="3">
        <v>596</v>
      </c>
      <c r="K733" t="s">
        <v>32</v>
      </c>
      <c r="L733" t="s">
        <v>18</v>
      </c>
    </row>
    <row r="734" spans="1:12" x14ac:dyDescent="0.3">
      <c r="A734">
        <v>11116</v>
      </c>
      <c r="B734" s="2">
        <v>45522</v>
      </c>
      <c r="C734" t="s">
        <v>12</v>
      </c>
      <c r="D734" t="s">
        <v>31</v>
      </c>
      <c r="E734" t="s">
        <v>23</v>
      </c>
      <c r="F734" t="s">
        <v>15</v>
      </c>
      <c r="G734" t="s">
        <v>19</v>
      </c>
      <c r="H734">
        <v>3</v>
      </c>
      <c r="I734" s="3">
        <v>36</v>
      </c>
      <c r="J734" s="3">
        <v>108</v>
      </c>
      <c r="K734" t="s">
        <v>17</v>
      </c>
      <c r="L734" t="s">
        <v>27</v>
      </c>
    </row>
    <row r="735" spans="1:12" x14ac:dyDescent="0.3">
      <c r="A735">
        <v>10334</v>
      </c>
      <c r="B735" s="2">
        <v>45523</v>
      </c>
      <c r="C735" t="s">
        <v>37</v>
      </c>
      <c r="D735" t="s">
        <v>13</v>
      </c>
      <c r="E735" t="s">
        <v>14</v>
      </c>
      <c r="F735" t="s">
        <v>38</v>
      </c>
      <c r="G735" t="s">
        <v>43</v>
      </c>
      <c r="H735">
        <v>3</v>
      </c>
      <c r="I735" s="3">
        <v>101</v>
      </c>
      <c r="J735" s="3">
        <v>303</v>
      </c>
      <c r="K735" t="s">
        <v>32</v>
      </c>
      <c r="L735" t="s">
        <v>20</v>
      </c>
    </row>
    <row r="736" spans="1:12" x14ac:dyDescent="0.3">
      <c r="A736">
        <v>10359</v>
      </c>
      <c r="B736" s="2">
        <v>45523</v>
      </c>
      <c r="C736" t="s">
        <v>40</v>
      </c>
      <c r="D736" t="s">
        <v>31</v>
      </c>
      <c r="E736" t="s">
        <v>23</v>
      </c>
      <c r="F736" t="s">
        <v>15</v>
      </c>
      <c r="G736" t="s">
        <v>24</v>
      </c>
      <c r="H736">
        <v>2</v>
      </c>
      <c r="I736" s="3">
        <v>61</v>
      </c>
      <c r="J736" s="3">
        <v>122</v>
      </c>
      <c r="K736" t="s">
        <v>25</v>
      </c>
      <c r="L736" t="s">
        <v>33</v>
      </c>
    </row>
    <row r="737" spans="1:12" x14ac:dyDescent="0.3">
      <c r="A737">
        <v>10545</v>
      </c>
      <c r="B737" s="2">
        <v>45523</v>
      </c>
      <c r="C737" t="s">
        <v>21</v>
      </c>
      <c r="D737" t="s">
        <v>42</v>
      </c>
      <c r="E737" t="s">
        <v>14</v>
      </c>
      <c r="F737" t="s">
        <v>38</v>
      </c>
      <c r="G737" t="s">
        <v>43</v>
      </c>
      <c r="H737">
        <v>3</v>
      </c>
      <c r="I737" s="3">
        <v>112</v>
      </c>
      <c r="J737" s="3">
        <v>336</v>
      </c>
      <c r="K737" t="s">
        <v>25</v>
      </c>
      <c r="L737" t="s">
        <v>33</v>
      </c>
    </row>
    <row r="738" spans="1:12" x14ac:dyDescent="0.3">
      <c r="A738">
        <v>10026</v>
      </c>
      <c r="B738" s="2">
        <v>45524</v>
      </c>
      <c r="C738" t="s">
        <v>37</v>
      </c>
      <c r="D738" t="s">
        <v>42</v>
      </c>
      <c r="E738" t="s">
        <v>23</v>
      </c>
      <c r="F738" t="s">
        <v>38</v>
      </c>
      <c r="G738" t="s">
        <v>41</v>
      </c>
      <c r="H738">
        <v>4</v>
      </c>
      <c r="I738" s="3">
        <v>87</v>
      </c>
      <c r="J738" s="3">
        <v>348</v>
      </c>
      <c r="K738" t="s">
        <v>32</v>
      </c>
      <c r="L738" t="s">
        <v>20</v>
      </c>
    </row>
    <row r="739" spans="1:12" x14ac:dyDescent="0.3">
      <c r="A739">
        <v>10060</v>
      </c>
      <c r="B739" s="2">
        <v>45524</v>
      </c>
      <c r="C739" t="s">
        <v>37</v>
      </c>
      <c r="D739" t="s">
        <v>26</v>
      </c>
      <c r="E739" t="s">
        <v>23</v>
      </c>
      <c r="F739" t="s">
        <v>38</v>
      </c>
      <c r="G739" t="s">
        <v>39</v>
      </c>
      <c r="H739">
        <v>3</v>
      </c>
      <c r="I739" s="3">
        <v>74</v>
      </c>
      <c r="J739" s="3">
        <v>222</v>
      </c>
      <c r="K739" t="s">
        <v>35</v>
      </c>
      <c r="L739" t="s">
        <v>27</v>
      </c>
    </row>
    <row r="740" spans="1:12" x14ac:dyDescent="0.3">
      <c r="A740">
        <v>10226</v>
      </c>
      <c r="B740" s="2">
        <v>45524</v>
      </c>
      <c r="C740" t="s">
        <v>37</v>
      </c>
      <c r="D740" t="s">
        <v>42</v>
      </c>
      <c r="E740" t="s">
        <v>23</v>
      </c>
      <c r="F740" t="s">
        <v>28</v>
      </c>
      <c r="G740" t="s">
        <v>34</v>
      </c>
      <c r="H740">
        <v>4</v>
      </c>
      <c r="I740" s="3">
        <v>59</v>
      </c>
      <c r="J740" s="3">
        <v>236</v>
      </c>
      <c r="K740" t="s">
        <v>17</v>
      </c>
      <c r="L740" t="s">
        <v>20</v>
      </c>
    </row>
    <row r="741" spans="1:12" x14ac:dyDescent="0.3">
      <c r="A741">
        <v>10319</v>
      </c>
      <c r="B741" s="2">
        <v>45524</v>
      </c>
      <c r="C741" t="s">
        <v>40</v>
      </c>
      <c r="D741" t="s">
        <v>26</v>
      </c>
      <c r="E741" t="s">
        <v>14</v>
      </c>
      <c r="F741" t="s">
        <v>28</v>
      </c>
      <c r="G741" t="s">
        <v>34</v>
      </c>
      <c r="H741">
        <v>4</v>
      </c>
      <c r="I741" s="3">
        <v>49</v>
      </c>
      <c r="J741" s="3">
        <v>196</v>
      </c>
      <c r="K741" t="s">
        <v>25</v>
      </c>
      <c r="L741" t="s">
        <v>18</v>
      </c>
    </row>
    <row r="742" spans="1:12" x14ac:dyDescent="0.3">
      <c r="A742">
        <v>10587</v>
      </c>
      <c r="B742" s="2">
        <v>45524</v>
      </c>
      <c r="C742" t="s">
        <v>21</v>
      </c>
      <c r="D742" t="s">
        <v>42</v>
      </c>
      <c r="E742" t="s">
        <v>14</v>
      </c>
      <c r="F742" t="s">
        <v>28</v>
      </c>
      <c r="G742" t="s">
        <v>34</v>
      </c>
      <c r="H742">
        <v>5</v>
      </c>
      <c r="I742" s="3">
        <v>141</v>
      </c>
      <c r="J742" s="3">
        <v>705</v>
      </c>
      <c r="K742" t="s">
        <v>17</v>
      </c>
      <c r="L742" t="s">
        <v>18</v>
      </c>
    </row>
    <row r="743" spans="1:12" x14ac:dyDescent="0.3">
      <c r="A743">
        <v>10614</v>
      </c>
      <c r="B743" s="2">
        <v>45524</v>
      </c>
      <c r="C743" t="s">
        <v>21</v>
      </c>
      <c r="D743" t="s">
        <v>31</v>
      </c>
      <c r="E743" t="s">
        <v>14</v>
      </c>
      <c r="F743" t="s">
        <v>28</v>
      </c>
      <c r="G743" t="s">
        <v>36</v>
      </c>
      <c r="H743">
        <v>3</v>
      </c>
      <c r="I743" s="3">
        <v>103</v>
      </c>
      <c r="J743" s="3">
        <v>309</v>
      </c>
      <c r="K743" t="s">
        <v>30</v>
      </c>
      <c r="L743" t="s">
        <v>18</v>
      </c>
    </row>
    <row r="744" spans="1:12" x14ac:dyDescent="0.3">
      <c r="A744">
        <v>10632</v>
      </c>
      <c r="B744" s="2">
        <v>45524</v>
      </c>
      <c r="C744" t="s">
        <v>21</v>
      </c>
      <c r="D744" t="s">
        <v>22</v>
      </c>
      <c r="E744" t="s">
        <v>23</v>
      </c>
      <c r="F744" t="s">
        <v>38</v>
      </c>
      <c r="G744" t="s">
        <v>43</v>
      </c>
      <c r="H744">
        <v>1</v>
      </c>
      <c r="I744" s="3">
        <v>140</v>
      </c>
      <c r="J744" s="3">
        <v>140</v>
      </c>
      <c r="K744" t="s">
        <v>30</v>
      </c>
      <c r="L744" t="s">
        <v>33</v>
      </c>
    </row>
    <row r="745" spans="1:12" x14ac:dyDescent="0.3">
      <c r="A745">
        <v>10683</v>
      </c>
      <c r="B745" s="2">
        <v>45524</v>
      </c>
      <c r="C745" t="s">
        <v>21</v>
      </c>
      <c r="D745" t="s">
        <v>13</v>
      </c>
      <c r="E745" t="s">
        <v>23</v>
      </c>
      <c r="F745" t="s">
        <v>15</v>
      </c>
      <c r="G745" t="s">
        <v>19</v>
      </c>
      <c r="H745">
        <v>5</v>
      </c>
      <c r="I745" s="3">
        <v>26</v>
      </c>
      <c r="J745" s="3">
        <v>130</v>
      </c>
      <c r="K745" t="s">
        <v>32</v>
      </c>
      <c r="L745" t="s">
        <v>33</v>
      </c>
    </row>
    <row r="746" spans="1:12" x14ac:dyDescent="0.3">
      <c r="A746">
        <v>10734</v>
      </c>
      <c r="B746" s="2">
        <v>45524</v>
      </c>
      <c r="C746" t="s">
        <v>40</v>
      </c>
      <c r="D746" t="s">
        <v>31</v>
      </c>
      <c r="E746" t="s">
        <v>23</v>
      </c>
      <c r="F746" t="s">
        <v>38</v>
      </c>
      <c r="G746" t="s">
        <v>43</v>
      </c>
      <c r="H746">
        <v>3</v>
      </c>
      <c r="I746" s="3">
        <v>57</v>
      </c>
      <c r="J746" s="3">
        <v>171</v>
      </c>
      <c r="K746" t="s">
        <v>30</v>
      </c>
      <c r="L746" t="s">
        <v>27</v>
      </c>
    </row>
    <row r="747" spans="1:12" x14ac:dyDescent="0.3">
      <c r="A747">
        <v>10774</v>
      </c>
      <c r="B747" s="2">
        <v>45524</v>
      </c>
      <c r="C747" t="s">
        <v>21</v>
      </c>
      <c r="D747" t="s">
        <v>31</v>
      </c>
      <c r="E747" t="s">
        <v>14</v>
      </c>
      <c r="F747" t="s">
        <v>28</v>
      </c>
      <c r="G747" t="s">
        <v>36</v>
      </c>
      <c r="H747">
        <v>5</v>
      </c>
      <c r="I747" s="3">
        <v>131</v>
      </c>
      <c r="J747" s="3">
        <v>655</v>
      </c>
      <c r="K747" t="s">
        <v>32</v>
      </c>
      <c r="L747" t="s">
        <v>20</v>
      </c>
    </row>
    <row r="748" spans="1:12" x14ac:dyDescent="0.3">
      <c r="A748">
        <v>10874</v>
      </c>
      <c r="B748" s="2">
        <v>45524</v>
      </c>
      <c r="C748" t="s">
        <v>21</v>
      </c>
      <c r="D748" t="s">
        <v>42</v>
      </c>
      <c r="E748" t="s">
        <v>23</v>
      </c>
      <c r="F748" t="s">
        <v>28</v>
      </c>
      <c r="G748" t="s">
        <v>36</v>
      </c>
      <c r="H748">
        <v>5</v>
      </c>
      <c r="I748" s="3">
        <v>22</v>
      </c>
      <c r="J748" s="3">
        <v>110</v>
      </c>
      <c r="K748" t="s">
        <v>17</v>
      </c>
      <c r="L748" t="s">
        <v>18</v>
      </c>
    </row>
    <row r="749" spans="1:12" x14ac:dyDescent="0.3">
      <c r="A749">
        <v>10379</v>
      </c>
      <c r="B749" s="2">
        <v>45525</v>
      </c>
      <c r="C749" t="s">
        <v>40</v>
      </c>
      <c r="D749" t="s">
        <v>26</v>
      </c>
      <c r="E749" t="s">
        <v>14</v>
      </c>
      <c r="F749" t="s">
        <v>28</v>
      </c>
      <c r="G749" t="s">
        <v>34</v>
      </c>
      <c r="H749">
        <v>2</v>
      </c>
      <c r="I749" s="3">
        <v>28</v>
      </c>
      <c r="J749" s="3">
        <v>56</v>
      </c>
      <c r="K749" t="s">
        <v>35</v>
      </c>
      <c r="L749" t="s">
        <v>33</v>
      </c>
    </row>
    <row r="750" spans="1:12" x14ac:dyDescent="0.3">
      <c r="A750">
        <v>10590</v>
      </c>
      <c r="B750" s="2">
        <v>45525</v>
      </c>
      <c r="C750" t="s">
        <v>37</v>
      </c>
      <c r="D750" t="s">
        <v>31</v>
      </c>
      <c r="E750" t="s">
        <v>14</v>
      </c>
      <c r="F750" t="s">
        <v>28</v>
      </c>
      <c r="G750" t="s">
        <v>36</v>
      </c>
      <c r="H750">
        <v>3</v>
      </c>
      <c r="I750" s="3">
        <v>65</v>
      </c>
      <c r="J750" s="3">
        <v>195</v>
      </c>
      <c r="K750" t="s">
        <v>35</v>
      </c>
      <c r="L750" t="s">
        <v>33</v>
      </c>
    </row>
    <row r="751" spans="1:12" x14ac:dyDescent="0.3">
      <c r="A751">
        <v>10627</v>
      </c>
      <c r="B751" s="2">
        <v>45525</v>
      </c>
      <c r="C751" t="s">
        <v>21</v>
      </c>
      <c r="D751" t="s">
        <v>22</v>
      </c>
      <c r="E751" t="s">
        <v>14</v>
      </c>
      <c r="F751" t="s">
        <v>28</v>
      </c>
      <c r="G751" t="s">
        <v>34</v>
      </c>
      <c r="H751">
        <v>2</v>
      </c>
      <c r="I751" s="3">
        <v>126</v>
      </c>
      <c r="J751" s="3">
        <v>252</v>
      </c>
      <c r="K751" t="s">
        <v>30</v>
      </c>
      <c r="L751" t="s">
        <v>27</v>
      </c>
    </row>
    <row r="752" spans="1:12" x14ac:dyDescent="0.3">
      <c r="A752">
        <v>10729</v>
      </c>
      <c r="B752" s="2">
        <v>45525</v>
      </c>
      <c r="C752" t="s">
        <v>37</v>
      </c>
      <c r="D752" t="s">
        <v>42</v>
      </c>
      <c r="E752" t="s">
        <v>14</v>
      </c>
      <c r="F752" t="s">
        <v>38</v>
      </c>
      <c r="G752" t="s">
        <v>41</v>
      </c>
      <c r="H752">
        <v>4</v>
      </c>
      <c r="I752" s="3">
        <v>92</v>
      </c>
      <c r="J752" s="3">
        <v>368</v>
      </c>
      <c r="K752" t="s">
        <v>17</v>
      </c>
      <c r="L752" t="s">
        <v>27</v>
      </c>
    </row>
    <row r="753" spans="1:12" x14ac:dyDescent="0.3">
      <c r="A753">
        <v>10991</v>
      </c>
      <c r="B753" s="2">
        <v>45525</v>
      </c>
      <c r="C753" t="s">
        <v>40</v>
      </c>
      <c r="D753" t="s">
        <v>26</v>
      </c>
      <c r="E753" t="s">
        <v>23</v>
      </c>
      <c r="F753" t="s">
        <v>38</v>
      </c>
      <c r="G753" t="s">
        <v>39</v>
      </c>
      <c r="H753">
        <v>2</v>
      </c>
      <c r="I753" s="3">
        <v>122</v>
      </c>
      <c r="J753" s="3">
        <v>244</v>
      </c>
      <c r="K753" t="s">
        <v>32</v>
      </c>
      <c r="L753" t="s">
        <v>20</v>
      </c>
    </row>
    <row r="754" spans="1:12" x14ac:dyDescent="0.3">
      <c r="A754">
        <v>10030</v>
      </c>
      <c r="B754" s="2">
        <v>45526</v>
      </c>
      <c r="C754" t="s">
        <v>37</v>
      </c>
      <c r="D754" t="s">
        <v>31</v>
      </c>
      <c r="E754" t="s">
        <v>14</v>
      </c>
      <c r="F754" t="s">
        <v>38</v>
      </c>
      <c r="G754" t="s">
        <v>39</v>
      </c>
      <c r="H754">
        <v>2</v>
      </c>
      <c r="I754" s="3">
        <v>96</v>
      </c>
      <c r="J754" s="3">
        <v>192</v>
      </c>
      <c r="K754" t="s">
        <v>30</v>
      </c>
      <c r="L754" t="s">
        <v>18</v>
      </c>
    </row>
    <row r="755" spans="1:12" x14ac:dyDescent="0.3">
      <c r="A755">
        <v>10690</v>
      </c>
      <c r="B755" s="2">
        <v>45526</v>
      </c>
      <c r="C755" t="s">
        <v>40</v>
      </c>
      <c r="D755" t="s">
        <v>31</v>
      </c>
      <c r="E755" t="s">
        <v>23</v>
      </c>
      <c r="F755" t="s">
        <v>15</v>
      </c>
      <c r="G755" t="s">
        <v>24</v>
      </c>
      <c r="H755">
        <v>1</v>
      </c>
      <c r="I755" s="3">
        <v>68</v>
      </c>
      <c r="J755" s="3">
        <v>68</v>
      </c>
      <c r="K755" t="s">
        <v>32</v>
      </c>
      <c r="L755" t="s">
        <v>33</v>
      </c>
    </row>
    <row r="756" spans="1:12" x14ac:dyDescent="0.3">
      <c r="A756">
        <v>10694</v>
      </c>
      <c r="B756" s="2">
        <v>45526</v>
      </c>
      <c r="C756" t="s">
        <v>37</v>
      </c>
      <c r="D756" t="s">
        <v>22</v>
      </c>
      <c r="E756" t="s">
        <v>14</v>
      </c>
      <c r="F756" t="s">
        <v>15</v>
      </c>
      <c r="G756" t="s">
        <v>24</v>
      </c>
      <c r="H756">
        <v>5</v>
      </c>
      <c r="I756" s="3">
        <v>133</v>
      </c>
      <c r="J756" s="3">
        <v>665</v>
      </c>
      <c r="K756" t="s">
        <v>35</v>
      </c>
      <c r="L756" t="s">
        <v>20</v>
      </c>
    </row>
    <row r="757" spans="1:12" x14ac:dyDescent="0.3">
      <c r="A757">
        <v>10976</v>
      </c>
      <c r="B757" s="2">
        <v>45526</v>
      </c>
      <c r="C757" t="s">
        <v>12</v>
      </c>
      <c r="D757" t="s">
        <v>22</v>
      </c>
      <c r="E757" t="s">
        <v>14</v>
      </c>
      <c r="F757" t="s">
        <v>38</v>
      </c>
      <c r="G757" t="s">
        <v>43</v>
      </c>
      <c r="H757">
        <v>1</v>
      </c>
      <c r="I757" s="3">
        <v>97</v>
      </c>
      <c r="J757" s="3">
        <v>97</v>
      </c>
      <c r="K757" t="s">
        <v>30</v>
      </c>
      <c r="L757" t="s">
        <v>27</v>
      </c>
    </row>
    <row r="758" spans="1:12" x14ac:dyDescent="0.3">
      <c r="A758">
        <v>11149</v>
      </c>
      <c r="B758" s="2">
        <v>45526</v>
      </c>
      <c r="C758" t="s">
        <v>40</v>
      </c>
      <c r="D758" t="s">
        <v>26</v>
      </c>
      <c r="E758" t="s">
        <v>23</v>
      </c>
      <c r="F758" t="s">
        <v>15</v>
      </c>
      <c r="G758" t="s">
        <v>19</v>
      </c>
      <c r="H758">
        <v>3</v>
      </c>
      <c r="I758" s="3">
        <v>113</v>
      </c>
      <c r="J758" s="3">
        <v>339</v>
      </c>
      <c r="K758" t="s">
        <v>35</v>
      </c>
      <c r="L758" t="s">
        <v>27</v>
      </c>
    </row>
    <row r="759" spans="1:12" x14ac:dyDescent="0.3">
      <c r="A759">
        <v>11175</v>
      </c>
      <c r="B759" s="2">
        <v>45526</v>
      </c>
      <c r="C759" t="s">
        <v>37</v>
      </c>
      <c r="D759" t="s">
        <v>31</v>
      </c>
      <c r="E759" t="s">
        <v>14</v>
      </c>
      <c r="F759" t="s">
        <v>28</v>
      </c>
      <c r="G759" t="s">
        <v>29</v>
      </c>
      <c r="H759">
        <v>2</v>
      </c>
      <c r="I759" s="3">
        <v>139</v>
      </c>
      <c r="J759" s="3">
        <v>278</v>
      </c>
      <c r="K759" t="s">
        <v>35</v>
      </c>
      <c r="L759" t="s">
        <v>20</v>
      </c>
    </row>
    <row r="760" spans="1:12" x14ac:dyDescent="0.3">
      <c r="A760">
        <v>10443</v>
      </c>
      <c r="B760" s="2">
        <v>45527</v>
      </c>
      <c r="C760" t="s">
        <v>37</v>
      </c>
      <c r="D760" t="s">
        <v>31</v>
      </c>
      <c r="E760" t="s">
        <v>14</v>
      </c>
      <c r="F760" t="s">
        <v>15</v>
      </c>
      <c r="G760" t="s">
        <v>16</v>
      </c>
      <c r="H760">
        <v>2</v>
      </c>
      <c r="I760" s="3">
        <v>26</v>
      </c>
      <c r="J760" s="3">
        <v>52</v>
      </c>
      <c r="K760" t="s">
        <v>25</v>
      </c>
      <c r="L760" t="s">
        <v>18</v>
      </c>
    </row>
    <row r="761" spans="1:12" x14ac:dyDescent="0.3">
      <c r="A761">
        <v>10745</v>
      </c>
      <c r="B761" s="2">
        <v>45527</v>
      </c>
      <c r="C761" t="s">
        <v>21</v>
      </c>
      <c r="D761" t="s">
        <v>22</v>
      </c>
      <c r="E761" t="s">
        <v>23</v>
      </c>
      <c r="F761" t="s">
        <v>28</v>
      </c>
      <c r="G761" t="s">
        <v>36</v>
      </c>
      <c r="H761">
        <v>3</v>
      </c>
      <c r="I761" s="3">
        <v>29</v>
      </c>
      <c r="J761" s="3">
        <v>87</v>
      </c>
      <c r="K761" t="s">
        <v>35</v>
      </c>
      <c r="L761" t="s">
        <v>18</v>
      </c>
    </row>
    <row r="762" spans="1:12" x14ac:dyDescent="0.3">
      <c r="A762">
        <v>10803</v>
      </c>
      <c r="B762" s="2">
        <v>45527</v>
      </c>
      <c r="C762" t="s">
        <v>21</v>
      </c>
      <c r="D762" t="s">
        <v>22</v>
      </c>
      <c r="E762" t="s">
        <v>23</v>
      </c>
      <c r="F762" t="s">
        <v>28</v>
      </c>
      <c r="G762" t="s">
        <v>34</v>
      </c>
      <c r="H762">
        <v>2</v>
      </c>
      <c r="I762" s="3">
        <v>142</v>
      </c>
      <c r="J762" s="3">
        <v>284</v>
      </c>
      <c r="K762" t="s">
        <v>35</v>
      </c>
      <c r="L762" t="s">
        <v>33</v>
      </c>
    </row>
    <row r="763" spans="1:12" x14ac:dyDescent="0.3">
      <c r="A763">
        <v>11039</v>
      </c>
      <c r="B763" s="2">
        <v>45527</v>
      </c>
      <c r="C763" t="s">
        <v>12</v>
      </c>
      <c r="D763" t="s">
        <v>13</v>
      </c>
      <c r="E763" t="s">
        <v>14</v>
      </c>
      <c r="F763" t="s">
        <v>38</v>
      </c>
      <c r="G763" t="s">
        <v>41</v>
      </c>
      <c r="H763">
        <v>4</v>
      </c>
      <c r="I763" s="3">
        <v>66</v>
      </c>
      <c r="J763" s="3">
        <v>264</v>
      </c>
      <c r="K763" t="s">
        <v>17</v>
      </c>
      <c r="L763" t="s">
        <v>27</v>
      </c>
    </row>
    <row r="764" spans="1:12" x14ac:dyDescent="0.3">
      <c r="A764">
        <v>11106</v>
      </c>
      <c r="B764" s="2">
        <v>45527</v>
      </c>
      <c r="C764" t="s">
        <v>40</v>
      </c>
      <c r="D764" t="s">
        <v>31</v>
      </c>
      <c r="E764" t="s">
        <v>14</v>
      </c>
      <c r="F764" t="s">
        <v>15</v>
      </c>
      <c r="G764" t="s">
        <v>24</v>
      </c>
      <c r="H764">
        <v>1</v>
      </c>
      <c r="I764" s="3">
        <v>48</v>
      </c>
      <c r="J764" s="3">
        <v>48</v>
      </c>
      <c r="K764" t="s">
        <v>35</v>
      </c>
      <c r="L764" t="s">
        <v>33</v>
      </c>
    </row>
    <row r="765" spans="1:12" x14ac:dyDescent="0.3">
      <c r="A765">
        <v>10341</v>
      </c>
      <c r="B765" s="2">
        <v>45528</v>
      </c>
      <c r="C765" t="s">
        <v>40</v>
      </c>
      <c r="D765" t="s">
        <v>13</v>
      </c>
      <c r="E765" t="s">
        <v>23</v>
      </c>
      <c r="F765" t="s">
        <v>28</v>
      </c>
      <c r="G765" t="s">
        <v>29</v>
      </c>
      <c r="H765">
        <v>1</v>
      </c>
      <c r="I765" s="3">
        <v>30</v>
      </c>
      <c r="J765" s="3">
        <v>30</v>
      </c>
      <c r="K765" t="s">
        <v>30</v>
      </c>
      <c r="L765" t="s">
        <v>27</v>
      </c>
    </row>
    <row r="766" spans="1:12" x14ac:dyDescent="0.3">
      <c r="A766">
        <v>10599</v>
      </c>
      <c r="B766" s="2">
        <v>45528</v>
      </c>
      <c r="C766" t="s">
        <v>21</v>
      </c>
      <c r="D766" t="s">
        <v>31</v>
      </c>
      <c r="E766" t="s">
        <v>23</v>
      </c>
      <c r="F766" t="s">
        <v>28</v>
      </c>
      <c r="G766" t="s">
        <v>36</v>
      </c>
      <c r="H766">
        <v>4</v>
      </c>
      <c r="I766" s="3">
        <v>105</v>
      </c>
      <c r="J766" s="3">
        <v>420</v>
      </c>
      <c r="K766" t="s">
        <v>17</v>
      </c>
      <c r="L766" t="s">
        <v>33</v>
      </c>
    </row>
    <row r="767" spans="1:12" x14ac:dyDescent="0.3">
      <c r="A767">
        <v>10796</v>
      </c>
      <c r="B767" s="2">
        <v>45529</v>
      </c>
      <c r="C767" t="s">
        <v>12</v>
      </c>
      <c r="D767" t="s">
        <v>13</v>
      </c>
      <c r="E767" t="s">
        <v>23</v>
      </c>
      <c r="F767" t="s">
        <v>28</v>
      </c>
      <c r="G767" t="s">
        <v>34</v>
      </c>
      <c r="H767">
        <v>5</v>
      </c>
      <c r="I767" s="3">
        <v>107</v>
      </c>
      <c r="J767" s="3">
        <v>535</v>
      </c>
      <c r="K767" t="s">
        <v>17</v>
      </c>
      <c r="L767" t="s">
        <v>18</v>
      </c>
    </row>
    <row r="768" spans="1:12" x14ac:dyDescent="0.3">
      <c r="A768">
        <v>10612</v>
      </c>
      <c r="B768" s="2">
        <v>45530</v>
      </c>
      <c r="C768" t="s">
        <v>12</v>
      </c>
      <c r="D768" t="s">
        <v>31</v>
      </c>
      <c r="E768" t="s">
        <v>23</v>
      </c>
      <c r="F768" t="s">
        <v>38</v>
      </c>
      <c r="G768" t="s">
        <v>39</v>
      </c>
      <c r="H768">
        <v>2</v>
      </c>
      <c r="I768" s="3">
        <v>40</v>
      </c>
      <c r="J768" s="3">
        <v>80</v>
      </c>
      <c r="K768" t="s">
        <v>25</v>
      </c>
      <c r="L768" t="s">
        <v>27</v>
      </c>
    </row>
    <row r="769" spans="1:12" x14ac:dyDescent="0.3">
      <c r="A769">
        <v>10686</v>
      </c>
      <c r="B769" s="2">
        <v>45530</v>
      </c>
      <c r="C769" t="s">
        <v>40</v>
      </c>
      <c r="D769" t="s">
        <v>26</v>
      </c>
      <c r="E769" t="s">
        <v>23</v>
      </c>
      <c r="F769" t="s">
        <v>28</v>
      </c>
      <c r="G769" t="s">
        <v>34</v>
      </c>
      <c r="H769">
        <v>4</v>
      </c>
      <c r="I769" s="3">
        <v>113</v>
      </c>
      <c r="J769" s="3">
        <v>452</v>
      </c>
      <c r="K769" t="s">
        <v>32</v>
      </c>
      <c r="L769" t="s">
        <v>18</v>
      </c>
    </row>
    <row r="770" spans="1:12" x14ac:dyDescent="0.3">
      <c r="A770">
        <v>10187</v>
      </c>
      <c r="B770" s="2">
        <v>45531</v>
      </c>
      <c r="C770" t="s">
        <v>12</v>
      </c>
      <c r="D770" t="s">
        <v>22</v>
      </c>
      <c r="E770" t="s">
        <v>14</v>
      </c>
      <c r="F770" t="s">
        <v>38</v>
      </c>
      <c r="G770" t="s">
        <v>41</v>
      </c>
      <c r="H770">
        <v>3</v>
      </c>
      <c r="I770" s="3">
        <v>114</v>
      </c>
      <c r="J770" s="3">
        <v>342</v>
      </c>
      <c r="K770" t="s">
        <v>25</v>
      </c>
      <c r="L770" t="s">
        <v>33</v>
      </c>
    </row>
    <row r="771" spans="1:12" x14ac:dyDescent="0.3">
      <c r="A771">
        <v>10539</v>
      </c>
      <c r="B771" s="2">
        <v>45531</v>
      </c>
      <c r="C771" t="s">
        <v>40</v>
      </c>
      <c r="D771" t="s">
        <v>26</v>
      </c>
      <c r="E771" t="s">
        <v>23</v>
      </c>
      <c r="F771" t="s">
        <v>28</v>
      </c>
      <c r="G771" t="s">
        <v>34</v>
      </c>
      <c r="H771">
        <v>4</v>
      </c>
      <c r="I771" s="3">
        <v>40</v>
      </c>
      <c r="J771" s="3">
        <v>160</v>
      </c>
      <c r="K771" t="s">
        <v>35</v>
      </c>
      <c r="L771" t="s">
        <v>18</v>
      </c>
    </row>
    <row r="772" spans="1:12" x14ac:dyDescent="0.3">
      <c r="A772">
        <v>11080</v>
      </c>
      <c r="B772" s="2">
        <v>45531</v>
      </c>
      <c r="C772" t="s">
        <v>21</v>
      </c>
      <c r="D772" t="s">
        <v>31</v>
      </c>
      <c r="E772" t="s">
        <v>14</v>
      </c>
      <c r="F772" t="s">
        <v>15</v>
      </c>
      <c r="G772" t="s">
        <v>16</v>
      </c>
      <c r="H772">
        <v>3</v>
      </c>
      <c r="I772" s="3">
        <v>139</v>
      </c>
      <c r="J772" s="3">
        <v>417</v>
      </c>
      <c r="K772" t="s">
        <v>32</v>
      </c>
      <c r="L772" t="s">
        <v>18</v>
      </c>
    </row>
    <row r="773" spans="1:12" x14ac:dyDescent="0.3">
      <c r="A773">
        <v>10077</v>
      </c>
      <c r="B773" s="2">
        <v>45532</v>
      </c>
      <c r="C773" t="s">
        <v>21</v>
      </c>
      <c r="D773" t="s">
        <v>42</v>
      </c>
      <c r="E773" t="s">
        <v>23</v>
      </c>
      <c r="F773" t="s">
        <v>28</v>
      </c>
      <c r="G773" t="s">
        <v>34</v>
      </c>
      <c r="H773">
        <v>5</v>
      </c>
      <c r="I773" s="3">
        <v>92</v>
      </c>
      <c r="J773" s="3">
        <v>460</v>
      </c>
      <c r="K773" t="s">
        <v>32</v>
      </c>
      <c r="L773" t="s">
        <v>18</v>
      </c>
    </row>
    <row r="774" spans="1:12" x14ac:dyDescent="0.3">
      <c r="A774">
        <v>10088</v>
      </c>
      <c r="B774" s="2">
        <v>45532</v>
      </c>
      <c r="C774" t="s">
        <v>37</v>
      </c>
      <c r="D774" t="s">
        <v>42</v>
      </c>
      <c r="E774" t="s">
        <v>23</v>
      </c>
      <c r="F774" t="s">
        <v>15</v>
      </c>
      <c r="G774" t="s">
        <v>19</v>
      </c>
      <c r="H774">
        <v>4</v>
      </c>
      <c r="I774" s="3">
        <v>43</v>
      </c>
      <c r="J774" s="3">
        <v>172</v>
      </c>
      <c r="K774" t="s">
        <v>35</v>
      </c>
      <c r="L774" t="s">
        <v>18</v>
      </c>
    </row>
    <row r="775" spans="1:12" x14ac:dyDescent="0.3">
      <c r="A775">
        <v>11010</v>
      </c>
      <c r="B775" s="2">
        <v>45532</v>
      </c>
      <c r="C775" t="s">
        <v>21</v>
      </c>
      <c r="D775" t="s">
        <v>26</v>
      </c>
      <c r="E775" t="s">
        <v>23</v>
      </c>
      <c r="F775" t="s">
        <v>28</v>
      </c>
      <c r="G775" t="s">
        <v>36</v>
      </c>
      <c r="H775">
        <v>3</v>
      </c>
      <c r="I775" s="3">
        <v>77</v>
      </c>
      <c r="J775" s="3">
        <v>231</v>
      </c>
      <c r="K775" t="s">
        <v>35</v>
      </c>
      <c r="L775" t="s">
        <v>27</v>
      </c>
    </row>
    <row r="776" spans="1:12" x14ac:dyDescent="0.3">
      <c r="A776">
        <v>11097</v>
      </c>
      <c r="B776" s="2">
        <v>45532</v>
      </c>
      <c r="C776" t="s">
        <v>40</v>
      </c>
      <c r="D776" t="s">
        <v>26</v>
      </c>
      <c r="E776" t="s">
        <v>23</v>
      </c>
      <c r="F776" t="s">
        <v>15</v>
      </c>
      <c r="G776" t="s">
        <v>19</v>
      </c>
      <c r="H776">
        <v>1</v>
      </c>
      <c r="I776" s="3">
        <v>70</v>
      </c>
      <c r="J776" s="3">
        <v>70</v>
      </c>
      <c r="K776" t="s">
        <v>30</v>
      </c>
      <c r="L776" t="s">
        <v>27</v>
      </c>
    </row>
    <row r="777" spans="1:12" x14ac:dyDescent="0.3">
      <c r="A777">
        <v>10114</v>
      </c>
      <c r="B777" s="2">
        <v>45533</v>
      </c>
      <c r="C777" t="s">
        <v>40</v>
      </c>
      <c r="D777" t="s">
        <v>22</v>
      </c>
      <c r="E777" t="s">
        <v>23</v>
      </c>
      <c r="F777" t="s">
        <v>15</v>
      </c>
      <c r="G777" t="s">
        <v>19</v>
      </c>
      <c r="H777">
        <v>1</v>
      </c>
      <c r="I777" s="3">
        <v>79</v>
      </c>
      <c r="J777" s="3">
        <v>79</v>
      </c>
      <c r="K777" t="s">
        <v>17</v>
      </c>
      <c r="L777" t="s">
        <v>20</v>
      </c>
    </row>
    <row r="778" spans="1:12" x14ac:dyDescent="0.3">
      <c r="A778">
        <v>10324</v>
      </c>
      <c r="B778" s="2">
        <v>45533</v>
      </c>
      <c r="C778" t="s">
        <v>37</v>
      </c>
      <c r="D778" t="s">
        <v>42</v>
      </c>
      <c r="E778" t="s">
        <v>14</v>
      </c>
      <c r="F778" t="s">
        <v>28</v>
      </c>
      <c r="G778" t="s">
        <v>34</v>
      </c>
      <c r="H778">
        <v>2</v>
      </c>
      <c r="I778" s="3">
        <v>31</v>
      </c>
      <c r="J778" s="3">
        <v>62</v>
      </c>
      <c r="K778" t="s">
        <v>32</v>
      </c>
      <c r="L778" t="s">
        <v>18</v>
      </c>
    </row>
    <row r="779" spans="1:12" x14ac:dyDescent="0.3">
      <c r="A779">
        <v>10392</v>
      </c>
      <c r="B779" s="2">
        <v>45533</v>
      </c>
      <c r="C779" t="s">
        <v>12</v>
      </c>
      <c r="D779" t="s">
        <v>22</v>
      </c>
      <c r="E779" t="s">
        <v>14</v>
      </c>
      <c r="F779" t="s">
        <v>38</v>
      </c>
      <c r="G779" t="s">
        <v>41</v>
      </c>
      <c r="H779">
        <v>5</v>
      </c>
      <c r="I779" s="3">
        <v>38</v>
      </c>
      <c r="J779" s="3">
        <v>190</v>
      </c>
      <c r="K779" t="s">
        <v>30</v>
      </c>
      <c r="L779" t="s">
        <v>33</v>
      </c>
    </row>
    <row r="780" spans="1:12" x14ac:dyDescent="0.3">
      <c r="A780">
        <v>10482</v>
      </c>
      <c r="B780" s="2">
        <v>45533</v>
      </c>
      <c r="C780" t="s">
        <v>21</v>
      </c>
      <c r="D780" t="s">
        <v>31</v>
      </c>
      <c r="E780" t="s">
        <v>14</v>
      </c>
      <c r="F780" t="s">
        <v>15</v>
      </c>
      <c r="G780" t="s">
        <v>16</v>
      </c>
      <c r="H780">
        <v>1</v>
      </c>
      <c r="I780" s="3">
        <v>57</v>
      </c>
      <c r="J780" s="3">
        <v>57</v>
      </c>
      <c r="K780" t="s">
        <v>35</v>
      </c>
      <c r="L780" t="s">
        <v>20</v>
      </c>
    </row>
    <row r="781" spans="1:12" x14ac:dyDescent="0.3">
      <c r="A781">
        <v>10631</v>
      </c>
      <c r="B781" s="2">
        <v>45533</v>
      </c>
      <c r="C781" t="s">
        <v>40</v>
      </c>
      <c r="D781" t="s">
        <v>22</v>
      </c>
      <c r="E781" t="s">
        <v>23</v>
      </c>
      <c r="F781" t="s">
        <v>15</v>
      </c>
      <c r="G781" t="s">
        <v>24</v>
      </c>
      <c r="H781">
        <v>1</v>
      </c>
      <c r="I781" s="3">
        <v>82</v>
      </c>
      <c r="J781" s="3">
        <v>82</v>
      </c>
      <c r="K781" t="s">
        <v>17</v>
      </c>
      <c r="L781" t="s">
        <v>18</v>
      </c>
    </row>
    <row r="782" spans="1:12" x14ac:dyDescent="0.3">
      <c r="A782">
        <v>10674</v>
      </c>
      <c r="B782" s="2">
        <v>45533</v>
      </c>
      <c r="C782" t="s">
        <v>21</v>
      </c>
      <c r="D782" t="s">
        <v>31</v>
      </c>
      <c r="E782" t="s">
        <v>23</v>
      </c>
      <c r="F782" t="s">
        <v>28</v>
      </c>
      <c r="G782" t="s">
        <v>29</v>
      </c>
      <c r="H782">
        <v>2</v>
      </c>
      <c r="I782" s="3">
        <v>38</v>
      </c>
      <c r="J782" s="3">
        <v>76</v>
      </c>
      <c r="K782" t="s">
        <v>32</v>
      </c>
      <c r="L782" t="s">
        <v>20</v>
      </c>
    </row>
    <row r="783" spans="1:12" x14ac:dyDescent="0.3">
      <c r="A783">
        <v>10766</v>
      </c>
      <c r="B783" s="2">
        <v>45533</v>
      </c>
      <c r="C783" t="s">
        <v>21</v>
      </c>
      <c r="D783" t="s">
        <v>26</v>
      </c>
      <c r="E783" t="s">
        <v>23</v>
      </c>
      <c r="F783" t="s">
        <v>28</v>
      </c>
      <c r="G783" t="s">
        <v>29</v>
      </c>
      <c r="H783">
        <v>1</v>
      </c>
      <c r="I783" s="3">
        <v>145</v>
      </c>
      <c r="J783" s="3">
        <v>145</v>
      </c>
      <c r="K783" t="s">
        <v>25</v>
      </c>
      <c r="L783" t="s">
        <v>20</v>
      </c>
    </row>
    <row r="784" spans="1:12" x14ac:dyDescent="0.3">
      <c r="A784">
        <v>10807</v>
      </c>
      <c r="B784" s="2">
        <v>45533</v>
      </c>
      <c r="C784" t="s">
        <v>40</v>
      </c>
      <c r="D784" t="s">
        <v>42</v>
      </c>
      <c r="E784" t="s">
        <v>14</v>
      </c>
      <c r="F784" t="s">
        <v>15</v>
      </c>
      <c r="G784" t="s">
        <v>24</v>
      </c>
      <c r="H784">
        <v>4</v>
      </c>
      <c r="I784" s="3">
        <v>144</v>
      </c>
      <c r="J784" s="3">
        <v>576</v>
      </c>
      <c r="K784" t="s">
        <v>32</v>
      </c>
      <c r="L784" t="s">
        <v>33</v>
      </c>
    </row>
    <row r="785" spans="1:12" x14ac:dyDescent="0.3">
      <c r="A785">
        <v>10692</v>
      </c>
      <c r="B785" s="2">
        <v>45534</v>
      </c>
      <c r="C785" t="s">
        <v>37</v>
      </c>
      <c r="D785" t="s">
        <v>42</v>
      </c>
      <c r="E785" t="s">
        <v>23</v>
      </c>
      <c r="F785" t="s">
        <v>38</v>
      </c>
      <c r="G785" t="s">
        <v>39</v>
      </c>
      <c r="H785">
        <v>5</v>
      </c>
      <c r="I785" s="3">
        <v>53</v>
      </c>
      <c r="J785" s="3">
        <v>265</v>
      </c>
      <c r="K785" t="s">
        <v>25</v>
      </c>
      <c r="L785" t="s">
        <v>33</v>
      </c>
    </row>
    <row r="786" spans="1:12" x14ac:dyDescent="0.3">
      <c r="A786">
        <v>10806</v>
      </c>
      <c r="B786" s="2">
        <v>45534</v>
      </c>
      <c r="C786" t="s">
        <v>21</v>
      </c>
      <c r="D786" t="s">
        <v>31</v>
      </c>
      <c r="E786" t="s">
        <v>14</v>
      </c>
      <c r="F786" t="s">
        <v>28</v>
      </c>
      <c r="G786" t="s">
        <v>29</v>
      </c>
      <c r="H786">
        <v>4</v>
      </c>
      <c r="I786" s="3">
        <v>57</v>
      </c>
      <c r="J786" s="3">
        <v>228</v>
      </c>
      <c r="K786" t="s">
        <v>32</v>
      </c>
      <c r="L786" t="s">
        <v>20</v>
      </c>
    </row>
    <row r="787" spans="1:12" x14ac:dyDescent="0.3">
      <c r="A787">
        <v>10901</v>
      </c>
      <c r="B787" s="2">
        <v>45534</v>
      </c>
      <c r="C787" t="s">
        <v>12</v>
      </c>
      <c r="D787" t="s">
        <v>22</v>
      </c>
      <c r="E787" t="s">
        <v>23</v>
      </c>
      <c r="F787" t="s">
        <v>38</v>
      </c>
      <c r="G787" t="s">
        <v>41</v>
      </c>
      <c r="H787">
        <v>2</v>
      </c>
      <c r="I787" s="3">
        <v>73</v>
      </c>
      <c r="J787" s="3">
        <v>146</v>
      </c>
      <c r="K787" t="s">
        <v>30</v>
      </c>
      <c r="L787" t="s">
        <v>33</v>
      </c>
    </row>
    <row r="788" spans="1:12" x14ac:dyDescent="0.3">
      <c r="A788">
        <v>11027</v>
      </c>
      <c r="B788" s="2">
        <v>45534</v>
      </c>
      <c r="C788" t="s">
        <v>12</v>
      </c>
      <c r="D788" t="s">
        <v>22</v>
      </c>
      <c r="E788" t="s">
        <v>14</v>
      </c>
      <c r="F788" t="s">
        <v>15</v>
      </c>
      <c r="G788" t="s">
        <v>24</v>
      </c>
      <c r="H788">
        <v>3</v>
      </c>
      <c r="I788" s="3">
        <v>97</v>
      </c>
      <c r="J788" s="3">
        <v>291</v>
      </c>
      <c r="K788" t="s">
        <v>25</v>
      </c>
      <c r="L788" t="s">
        <v>20</v>
      </c>
    </row>
    <row r="789" spans="1:12" x14ac:dyDescent="0.3">
      <c r="A789">
        <v>11076</v>
      </c>
      <c r="B789" s="2">
        <v>45534</v>
      </c>
      <c r="C789" t="s">
        <v>37</v>
      </c>
      <c r="D789" t="s">
        <v>42</v>
      </c>
      <c r="E789" t="s">
        <v>14</v>
      </c>
      <c r="F789" t="s">
        <v>28</v>
      </c>
      <c r="G789" t="s">
        <v>34</v>
      </c>
      <c r="H789">
        <v>4</v>
      </c>
      <c r="I789" s="3">
        <v>86</v>
      </c>
      <c r="J789" s="3">
        <v>344</v>
      </c>
      <c r="K789" t="s">
        <v>25</v>
      </c>
      <c r="L789" t="s">
        <v>27</v>
      </c>
    </row>
    <row r="790" spans="1:12" x14ac:dyDescent="0.3">
      <c r="A790">
        <v>10730</v>
      </c>
      <c r="B790" s="2">
        <v>45535</v>
      </c>
      <c r="C790" t="s">
        <v>37</v>
      </c>
      <c r="D790" t="s">
        <v>13</v>
      </c>
      <c r="E790" t="s">
        <v>14</v>
      </c>
      <c r="F790" t="s">
        <v>38</v>
      </c>
      <c r="G790" t="s">
        <v>39</v>
      </c>
      <c r="H790">
        <v>2</v>
      </c>
      <c r="I790" s="3">
        <v>37</v>
      </c>
      <c r="J790" s="3">
        <v>74</v>
      </c>
      <c r="K790" t="s">
        <v>30</v>
      </c>
      <c r="L790" t="s">
        <v>18</v>
      </c>
    </row>
    <row r="791" spans="1:12" x14ac:dyDescent="0.3">
      <c r="A791">
        <v>10840</v>
      </c>
      <c r="B791" s="2">
        <v>45535</v>
      </c>
      <c r="C791" t="s">
        <v>12</v>
      </c>
      <c r="D791" t="s">
        <v>13</v>
      </c>
      <c r="E791" t="s">
        <v>23</v>
      </c>
      <c r="F791" t="s">
        <v>15</v>
      </c>
      <c r="G791" t="s">
        <v>19</v>
      </c>
      <c r="H791">
        <v>3</v>
      </c>
      <c r="I791" s="3">
        <v>116</v>
      </c>
      <c r="J791" s="3">
        <v>348</v>
      </c>
      <c r="K791" t="s">
        <v>30</v>
      </c>
      <c r="L791" t="s">
        <v>27</v>
      </c>
    </row>
    <row r="792" spans="1:12" x14ac:dyDescent="0.3">
      <c r="A792">
        <v>11137</v>
      </c>
      <c r="B792" s="2">
        <v>45535</v>
      </c>
      <c r="C792" t="s">
        <v>21</v>
      </c>
      <c r="D792" t="s">
        <v>26</v>
      </c>
      <c r="E792" t="s">
        <v>23</v>
      </c>
      <c r="F792" t="s">
        <v>38</v>
      </c>
      <c r="G792" t="s">
        <v>41</v>
      </c>
      <c r="H792">
        <v>3</v>
      </c>
      <c r="I792" s="3">
        <v>27</v>
      </c>
      <c r="J792" s="3">
        <v>81</v>
      </c>
      <c r="K792" t="s">
        <v>25</v>
      </c>
      <c r="L792" t="s">
        <v>18</v>
      </c>
    </row>
    <row r="793" spans="1:12" x14ac:dyDescent="0.3">
      <c r="A793">
        <v>11172</v>
      </c>
      <c r="B793" s="2">
        <v>45535</v>
      </c>
      <c r="C793" t="s">
        <v>21</v>
      </c>
      <c r="D793" t="s">
        <v>26</v>
      </c>
      <c r="E793" t="s">
        <v>23</v>
      </c>
      <c r="F793" t="s">
        <v>28</v>
      </c>
      <c r="G793" t="s">
        <v>36</v>
      </c>
      <c r="H793">
        <v>5</v>
      </c>
      <c r="I793" s="3">
        <v>71</v>
      </c>
      <c r="J793" s="3">
        <v>355</v>
      </c>
      <c r="K793" t="s">
        <v>25</v>
      </c>
      <c r="L793" t="s">
        <v>27</v>
      </c>
    </row>
    <row r="794" spans="1:12" x14ac:dyDescent="0.3">
      <c r="A794">
        <v>10217</v>
      </c>
      <c r="B794" s="2">
        <v>45536</v>
      </c>
      <c r="C794" t="s">
        <v>12</v>
      </c>
      <c r="D794" t="s">
        <v>26</v>
      </c>
      <c r="E794" t="s">
        <v>23</v>
      </c>
      <c r="F794" t="s">
        <v>15</v>
      </c>
      <c r="G794" t="s">
        <v>16</v>
      </c>
      <c r="H794">
        <v>4</v>
      </c>
      <c r="I794" s="3">
        <v>141</v>
      </c>
      <c r="J794" s="3">
        <v>564</v>
      </c>
      <c r="K794" t="s">
        <v>35</v>
      </c>
      <c r="L794" t="s">
        <v>18</v>
      </c>
    </row>
    <row r="795" spans="1:12" x14ac:dyDescent="0.3">
      <c r="A795">
        <v>10797</v>
      </c>
      <c r="B795" s="2">
        <v>45536</v>
      </c>
      <c r="C795" t="s">
        <v>37</v>
      </c>
      <c r="D795" t="s">
        <v>13</v>
      </c>
      <c r="E795" t="s">
        <v>14</v>
      </c>
      <c r="F795" t="s">
        <v>38</v>
      </c>
      <c r="G795" t="s">
        <v>39</v>
      </c>
      <c r="H795">
        <v>4</v>
      </c>
      <c r="I795" s="3">
        <v>40</v>
      </c>
      <c r="J795" s="3">
        <v>160</v>
      </c>
      <c r="K795" t="s">
        <v>35</v>
      </c>
      <c r="L795" t="s">
        <v>20</v>
      </c>
    </row>
    <row r="796" spans="1:12" x14ac:dyDescent="0.3">
      <c r="A796">
        <v>10125</v>
      </c>
      <c r="B796" s="2">
        <v>45537</v>
      </c>
      <c r="C796" t="s">
        <v>21</v>
      </c>
      <c r="D796" t="s">
        <v>42</v>
      </c>
      <c r="E796" t="s">
        <v>14</v>
      </c>
      <c r="F796" t="s">
        <v>38</v>
      </c>
      <c r="G796" t="s">
        <v>43</v>
      </c>
      <c r="H796">
        <v>1</v>
      </c>
      <c r="I796" s="3">
        <v>35</v>
      </c>
      <c r="J796" s="3">
        <v>35</v>
      </c>
      <c r="K796" t="s">
        <v>30</v>
      </c>
      <c r="L796" t="s">
        <v>27</v>
      </c>
    </row>
    <row r="797" spans="1:12" x14ac:dyDescent="0.3">
      <c r="A797">
        <v>10244</v>
      </c>
      <c r="B797" s="2">
        <v>45537</v>
      </c>
      <c r="C797" t="s">
        <v>12</v>
      </c>
      <c r="D797" t="s">
        <v>26</v>
      </c>
      <c r="E797" t="s">
        <v>23</v>
      </c>
      <c r="F797" t="s">
        <v>15</v>
      </c>
      <c r="G797" t="s">
        <v>24</v>
      </c>
      <c r="H797">
        <v>5</v>
      </c>
      <c r="I797" s="3">
        <v>75</v>
      </c>
      <c r="J797" s="3">
        <v>375</v>
      </c>
      <c r="K797" t="s">
        <v>25</v>
      </c>
      <c r="L797" t="s">
        <v>20</v>
      </c>
    </row>
    <row r="798" spans="1:12" x14ac:dyDescent="0.3">
      <c r="A798">
        <v>11016</v>
      </c>
      <c r="B798" s="2">
        <v>45537</v>
      </c>
      <c r="C798" t="s">
        <v>37</v>
      </c>
      <c r="D798" t="s">
        <v>26</v>
      </c>
      <c r="E798" t="s">
        <v>23</v>
      </c>
      <c r="F798" t="s">
        <v>15</v>
      </c>
      <c r="G798" t="s">
        <v>24</v>
      </c>
      <c r="H798">
        <v>1</v>
      </c>
      <c r="I798" s="3">
        <v>131</v>
      </c>
      <c r="J798" s="3">
        <v>131</v>
      </c>
      <c r="K798" t="s">
        <v>25</v>
      </c>
      <c r="L798" t="s">
        <v>27</v>
      </c>
    </row>
    <row r="799" spans="1:12" x14ac:dyDescent="0.3">
      <c r="A799">
        <v>11044</v>
      </c>
      <c r="B799" s="2">
        <v>45537</v>
      </c>
      <c r="C799" t="s">
        <v>21</v>
      </c>
      <c r="D799" t="s">
        <v>13</v>
      </c>
      <c r="E799" t="s">
        <v>23</v>
      </c>
      <c r="F799" t="s">
        <v>15</v>
      </c>
      <c r="G799" t="s">
        <v>16</v>
      </c>
      <c r="H799">
        <v>2</v>
      </c>
      <c r="I799" s="3">
        <v>55</v>
      </c>
      <c r="J799" s="3">
        <v>110</v>
      </c>
      <c r="K799" t="s">
        <v>35</v>
      </c>
      <c r="L799" t="s">
        <v>27</v>
      </c>
    </row>
    <row r="800" spans="1:12" x14ac:dyDescent="0.3">
      <c r="A800">
        <v>11199</v>
      </c>
      <c r="B800" s="2">
        <v>45537</v>
      </c>
      <c r="C800" t="s">
        <v>40</v>
      </c>
      <c r="D800" t="s">
        <v>31</v>
      </c>
      <c r="E800" t="s">
        <v>14</v>
      </c>
      <c r="F800" t="s">
        <v>38</v>
      </c>
      <c r="G800" t="s">
        <v>41</v>
      </c>
      <c r="H800">
        <v>5</v>
      </c>
      <c r="I800" s="3">
        <v>121</v>
      </c>
      <c r="J800" s="3">
        <v>605</v>
      </c>
      <c r="K800" t="s">
        <v>35</v>
      </c>
      <c r="L800" t="s">
        <v>20</v>
      </c>
    </row>
    <row r="801" spans="1:12" x14ac:dyDescent="0.3">
      <c r="A801">
        <v>10617</v>
      </c>
      <c r="B801" s="2">
        <v>45538</v>
      </c>
      <c r="C801" t="s">
        <v>21</v>
      </c>
      <c r="D801" t="s">
        <v>31</v>
      </c>
      <c r="E801" t="s">
        <v>23</v>
      </c>
      <c r="F801" t="s">
        <v>28</v>
      </c>
      <c r="G801" t="s">
        <v>36</v>
      </c>
      <c r="H801">
        <v>2</v>
      </c>
      <c r="I801" s="3">
        <v>60</v>
      </c>
      <c r="J801" s="3">
        <v>120</v>
      </c>
      <c r="K801" t="s">
        <v>32</v>
      </c>
      <c r="L801" t="s">
        <v>27</v>
      </c>
    </row>
    <row r="802" spans="1:12" x14ac:dyDescent="0.3">
      <c r="A802">
        <v>10094</v>
      </c>
      <c r="B802" s="2">
        <v>45539</v>
      </c>
      <c r="C802" t="s">
        <v>21</v>
      </c>
      <c r="D802" t="s">
        <v>13</v>
      </c>
      <c r="E802" t="s">
        <v>23</v>
      </c>
      <c r="F802" t="s">
        <v>15</v>
      </c>
      <c r="G802" t="s">
        <v>24</v>
      </c>
      <c r="H802">
        <v>3</v>
      </c>
      <c r="I802" s="3">
        <v>126</v>
      </c>
      <c r="J802" s="3">
        <v>378</v>
      </c>
      <c r="K802" t="s">
        <v>17</v>
      </c>
      <c r="L802" t="s">
        <v>20</v>
      </c>
    </row>
    <row r="803" spans="1:12" x14ac:dyDescent="0.3">
      <c r="A803">
        <v>10025</v>
      </c>
      <c r="B803" s="2">
        <v>45540</v>
      </c>
      <c r="C803" t="s">
        <v>21</v>
      </c>
      <c r="D803" t="s">
        <v>13</v>
      </c>
      <c r="E803" t="s">
        <v>23</v>
      </c>
      <c r="F803" t="s">
        <v>28</v>
      </c>
      <c r="G803" t="s">
        <v>34</v>
      </c>
      <c r="H803">
        <v>2</v>
      </c>
      <c r="I803" s="3">
        <v>124</v>
      </c>
      <c r="J803" s="3">
        <v>248</v>
      </c>
      <c r="K803" t="s">
        <v>25</v>
      </c>
      <c r="L803" t="s">
        <v>20</v>
      </c>
    </row>
    <row r="804" spans="1:12" x14ac:dyDescent="0.3">
      <c r="A804">
        <v>10157</v>
      </c>
      <c r="B804" s="2">
        <v>45540</v>
      </c>
      <c r="C804" t="s">
        <v>12</v>
      </c>
      <c r="D804" t="s">
        <v>13</v>
      </c>
      <c r="E804" t="s">
        <v>14</v>
      </c>
      <c r="F804" t="s">
        <v>38</v>
      </c>
      <c r="G804" t="s">
        <v>41</v>
      </c>
      <c r="H804">
        <v>2</v>
      </c>
      <c r="I804" s="3">
        <v>107</v>
      </c>
      <c r="J804" s="3">
        <v>214</v>
      </c>
      <c r="K804" t="s">
        <v>32</v>
      </c>
      <c r="L804" t="s">
        <v>18</v>
      </c>
    </row>
    <row r="805" spans="1:12" x14ac:dyDescent="0.3">
      <c r="A805">
        <v>10453</v>
      </c>
      <c r="B805" s="2">
        <v>45540</v>
      </c>
      <c r="C805" t="s">
        <v>21</v>
      </c>
      <c r="D805" t="s">
        <v>26</v>
      </c>
      <c r="E805" t="s">
        <v>23</v>
      </c>
      <c r="F805" t="s">
        <v>15</v>
      </c>
      <c r="G805" t="s">
        <v>16</v>
      </c>
      <c r="H805">
        <v>2</v>
      </c>
      <c r="I805" s="3">
        <v>101</v>
      </c>
      <c r="J805" s="3">
        <v>202</v>
      </c>
      <c r="K805" t="s">
        <v>17</v>
      </c>
      <c r="L805" t="s">
        <v>20</v>
      </c>
    </row>
    <row r="806" spans="1:12" x14ac:dyDescent="0.3">
      <c r="A806">
        <v>10717</v>
      </c>
      <c r="B806" s="2">
        <v>45540</v>
      </c>
      <c r="C806" t="s">
        <v>21</v>
      </c>
      <c r="D806" t="s">
        <v>26</v>
      </c>
      <c r="E806" t="s">
        <v>14</v>
      </c>
      <c r="F806" t="s">
        <v>28</v>
      </c>
      <c r="G806" t="s">
        <v>36</v>
      </c>
      <c r="H806">
        <v>3</v>
      </c>
      <c r="I806" s="3">
        <v>115</v>
      </c>
      <c r="J806" s="3">
        <v>345</v>
      </c>
      <c r="K806" t="s">
        <v>25</v>
      </c>
      <c r="L806" t="s">
        <v>20</v>
      </c>
    </row>
    <row r="807" spans="1:12" x14ac:dyDescent="0.3">
      <c r="A807">
        <v>10757</v>
      </c>
      <c r="B807" s="2">
        <v>45540</v>
      </c>
      <c r="C807" t="s">
        <v>40</v>
      </c>
      <c r="D807" t="s">
        <v>31</v>
      </c>
      <c r="E807" t="s">
        <v>14</v>
      </c>
      <c r="F807" t="s">
        <v>15</v>
      </c>
      <c r="G807" t="s">
        <v>24</v>
      </c>
      <c r="H807">
        <v>2</v>
      </c>
      <c r="I807" s="3">
        <v>30</v>
      </c>
      <c r="J807" s="3">
        <v>60</v>
      </c>
      <c r="K807" t="s">
        <v>35</v>
      </c>
      <c r="L807" t="s">
        <v>33</v>
      </c>
    </row>
    <row r="808" spans="1:12" x14ac:dyDescent="0.3">
      <c r="A808">
        <v>10835</v>
      </c>
      <c r="B808" s="2">
        <v>45540</v>
      </c>
      <c r="C808" t="s">
        <v>21</v>
      </c>
      <c r="D808" t="s">
        <v>13</v>
      </c>
      <c r="E808" t="s">
        <v>14</v>
      </c>
      <c r="F808" t="s">
        <v>28</v>
      </c>
      <c r="G808" t="s">
        <v>34</v>
      </c>
      <c r="H808">
        <v>5</v>
      </c>
      <c r="I808" s="3">
        <v>52</v>
      </c>
      <c r="J808" s="3">
        <v>260</v>
      </c>
      <c r="K808" t="s">
        <v>32</v>
      </c>
      <c r="L808" t="s">
        <v>27</v>
      </c>
    </row>
    <row r="809" spans="1:12" x14ac:dyDescent="0.3">
      <c r="A809">
        <v>10955</v>
      </c>
      <c r="B809" s="2">
        <v>45540</v>
      </c>
      <c r="C809" t="s">
        <v>40</v>
      </c>
      <c r="D809" t="s">
        <v>31</v>
      </c>
      <c r="E809" t="s">
        <v>14</v>
      </c>
      <c r="F809" t="s">
        <v>28</v>
      </c>
      <c r="G809" t="s">
        <v>36</v>
      </c>
      <c r="H809">
        <v>2</v>
      </c>
      <c r="I809" s="3">
        <v>142</v>
      </c>
      <c r="J809" s="3">
        <v>284</v>
      </c>
      <c r="K809" t="s">
        <v>35</v>
      </c>
      <c r="L809" t="s">
        <v>18</v>
      </c>
    </row>
    <row r="810" spans="1:12" x14ac:dyDescent="0.3">
      <c r="A810">
        <v>10464</v>
      </c>
      <c r="B810" s="2">
        <v>45541</v>
      </c>
      <c r="C810" t="s">
        <v>21</v>
      </c>
      <c r="D810" t="s">
        <v>22</v>
      </c>
      <c r="E810" t="s">
        <v>14</v>
      </c>
      <c r="F810" t="s">
        <v>15</v>
      </c>
      <c r="G810" t="s">
        <v>19</v>
      </c>
      <c r="H810">
        <v>3</v>
      </c>
      <c r="I810" s="3">
        <v>108</v>
      </c>
      <c r="J810" s="3">
        <v>324</v>
      </c>
      <c r="K810" t="s">
        <v>17</v>
      </c>
      <c r="L810" t="s">
        <v>20</v>
      </c>
    </row>
    <row r="811" spans="1:12" x14ac:dyDescent="0.3">
      <c r="A811">
        <v>10503</v>
      </c>
      <c r="B811" s="2">
        <v>45541</v>
      </c>
      <c r="C811" t="s">
        <v>37</v>
      </c>
      <c r="D811" t="s">
        <v>26</v>
      </c>
      <c r="E811" t="s">
        <v>14</v>
      </c>
      <c r="F811" t="s">
        <v>38</v>
      </c>
      <c r="G811" t="s">
        <v>39</v>
      </c>
      <c r="H811">
        <v>2</v>
      </c>
      <c r="I811" s="3">
        <v>100</v>
      </c>
      <c r="J811" s="3">
        <v>200</v>
      </c>
      <c r="K811" t="s">
        <v>30</v>
      </c>
      <c r="L811" t="s">
        <v>18</v>
      </c>
    </row>
    <row r="812" spans="1:12" x14ac:dyDescent="0.3">
      <c r="A812">
        <v>10952</v>
      </c>
      <c r="B812" s="2">
        <v>45541</v>
      </c>
      <c r="C812" t="s">
        <v>12</v>
      </c>
      <c r="D812" t="s">
        <v>22</v>
      </c>
      <c r="E812" t="s">
        <v>14</v>
      </c>
      <c r="F812" t="s">
        <v>28</v>
      </c>
      <c r="G812" t="s">
        <v>36</v>
      </c>
      <c r="H812">
        <v>2</v>
      </c>
      <c r="I812" s="3">
        <v>70</v>
      </c>
      <c r="J812" s="3">
        <v>140</v>
      </c>
      <c r="K812" t="s">
        <v>30</v>
      </c>
      <c r="L812" t="s">
        <v>20</v>
      </c>
    </row>
    <row r="813" spans="1:12" x14ac:dyDescent="0.3">
      <c r="A813">
        <v>10034</v>
      </c>
      <c r="B813" s="2">
        <v>45542</v>
      </c>
      <c r="C813" t="s">
        <v>37</v>
      </c>
      <c r="D813" t="s">
        <v>31</v>
      </c>
      <c r="E813" t="s">
        <v>14</v>
      </c>
      <c r="F813" t="s">
        <v>15</v>
      </c>
      <c r="G813" t="s">
        <v>24</v>
      </c>
      <c r="H813">
        <v>3</v>
      </c>
      <c r="I813" s="3">
        <v>149</v>
      </c>
      <c r="J813" s="3">
        <v>447</v>
      </c>
      <c r="K813" t="s">
        <v>30</v>
      </c>
      <c r="L813" t="s">
        <v>33</v>
      </c>
    </row>
    <row r="814" spans="1:12" x14ac:dyDescent="0.3">
      <c r="A814">
        <v>10395</v>
      </c>
      <c r="B814" s="2">
        <v>45542</v>
      </c>
      <c r="C814" t="s">
        <v>40</v>
      </c>
      <c r="D814" t="s">
        <v>13</v>
      </c>
      <c r="E814" t="s">
        <v>23</v>
      </c>
      <c r="F814" t="s">
        <v>38</v>
      </c>
      <c r="G814" t="s">
        <v>41</v>
      </c>
      <c r="H814">
        <v>2</v>
      </c>
      <c r="I814" s="3">
        <v>60</v>
      </c>
      <c r="J814" s="3">
        <v>120</v>
      </c>
      <c r="K814" t="s">
        <v>30</v>
      </c>
      <c r="L814" t="s">
        <v>27</v>
      </c>
    </row>
    <row r="815" spans="1:12" x14ac:dyDescent="0.3">
      <c r="A815">
        <v>10399</v>
      </c>
      <c r="B815" s="2">
        <v>45542</v>
      </c>
      <c r="C815" t="s">
        <v>37</v>
      </c>
      <c r="D815" t="s">
        <v>13</v>
      </c>
      <c r="E815" t="s">
        <v>14</v>
      </c>
      <c r="F815" t="s">
        <v>38</v>
      </c>
      <c r="G815" t="s">
        <v>43</v>
      </c>
      <c r="H815">
        <v>2</v>
      </c>
      <c r="I815" s="3">
        <v>107</v>
      </c>
      <c r="J815" s="3">
        <v>214</v>
      </c>
      <c r="K815" t="s">
        <v>30</v>
      </c>
      <c r="L815" t="s">
        <v>18</v>
      </c>
    </row>
    <row r="816" spans="1:12" x14ac:dyDescent="0.3">
      <c r="A816">
        <v>10657</v>
      </c>
      <c r="B816" s="2">
        <v>45542</v>
      </c>
      <c r="C816" t="s">
        <v>21</v>
      </c>
      <c r="D816" t="s">
        <v>31</v>
      </c>
      <c r="E816" t="s">
        <v>23</v>
      </c>
      <c r="F816" t="s">
        <v>28</v>
      </c>
      <c r="G816" t="s">
        <v>36</v>
      </c>
      <c r="H816">
        <v>5</v>
      </c>
      <c r="I816" s="3">
        <v>81</v>
      </c>
      <c r="J816" s="3">
        <v>405</v>
      </c>
      <c r="K816" t="s">
        <v>30</v>
      </c>
      <c r="L816" t="s">
        <v>27</v>
      </c>
    </row>
    <row r="817" spans="1:12" x14ac:dyDescent="0.3">
      <c r="A817">
        <v>10436</v>
      </c>
      <c r="B817" s="2">
        <v>45543</v>
      </c>
      <c r="C817" t="s">
        <v>37</v>
      </c>
      <c r="D817" t="s">
        <v>31</v>
      </c>
      <c r="E817" t="s">
        <v>23</v>
      </c>
      <c r="F817" t="s">
        <v>38</v>
      </c>
      <c r="G817" t="s">
        <v>43</v>
      </c>
      <c r="H817">
        <v>1</v>
      </c>
      <c r="I817" s="3">
        <v>97</v>
      </c>
      <c r="J817" s="3">
        <v>97</v>
      </c>
      <c r="K817" t="s">
        <v>17</v>
      </c>
      <c r="L817" t="s">
        <v>20</v>
      </c>
    </row>
    <row r="818" spans="1:12" x14ac:dyDescent="0.3">
      <c r="A818">
        <v>10936</v>
      </c>
      <c r="B818" s="2">
        <v>45543</v>
      </c>
      <c r="C818" t="s">
        <v>40</v>
      </c>
      <c r="D818" t="s">
        <v>13</v>
      </c>
      <c r="E818" t="s">
        <v>14</v>
      </c>
      <c r="F818" t="s">
        <v>28</v>
      </c>
      <c r="G818" t="s">
        <v>29</v>
      </c>
      <c r="H818">
        <v>1</v>
      </c>
      <c r="I818" s="3">
        <v>36</v>
      </c>
      <c r="J818" s="3">
        <v>36</v>
      </c>
      <c r="K818" t="s">
        <v>32</v>
      </c>
      <c r="L818" t="s">
        <v>20</v>
      </c>
    </row>
    <row r="819" spans="1:12" x14ac:dyDescent="0.3">
      <c r="A819">
        <v>10011</v>
      </c>
      <c r="B819" s="2">
        <v>45544</v>
      </c>
      <c r="C819" t="s">
        <v>40</v>
      </c>
      <c r="D819" t="s">
        <v>31</v>
      </c>
      <c r="E819" t="s">
        <v>14</v>
      </c>
      <c r="F819" t="s">
        <v>38</v>
      </c>
      <c r="G819" t="s">
        <v>41</v>
      </c>
      <c r="H819">
        <v>2</v>
      </c>
      <c r="I819" s="3">
        <v>150</v>
      </c>
      <c r="J819" s="3">
        <v>300</v>
      </c>
      <c r="K819" t="s">
        <v>32</v>
      </c>
      <c r="L819" t="s">
        <v>20</v>
      </c>
    </row>
    <row r="820" spans="1:12" x14ac:dyDescent="0.3">
      <c r="A820">
        <v>10358</v>
      </c>
      <c r="B820" s="2">
        <v>45544</v>
      </c>
      <c r="C820" t="s">
        <v>21</v>
      </c>
      <c r="D820" t="s">
        <v>26</v>
      </c>
      <c r="E820" t="s">
        <v>23</v>
      </c>
      <c r="F820" t="s">
        <v>15</v>
      </c>
      <c r="G820" t="s">
        <v>19</v>
      </c>
      <c r="H820">
        <v>2</v>
      </c>
      <c r="I820" s="3">
        <v>125</v>
      </c>
      <c r="J820" s="3">
        <v>250</v>
      </c>
      <c r="K820" t="s">
        <v>25</v>
      </c>
      <c r="L820" t="s">
        <v>27</v>
      </c>
    </row>
    <row r="821" spans="1:12" x14ac:dyDescent="0.3">
      <c r="A821">
        <v>10496</v>
      </c>
      <c r="B821" s="2">
        <v>45544</v>
      </c>
      <c r="C821" t="s">
        <v>37</v>
      </c>
      <c r="D821" t="s">
        <v>42</v>
      </c>
      <c r="E821" t="s">
        <v>14</v>
      </c>
      <c r="F821" t="s">
        <v>38</v>
      </c>
      <c r="G821" t="s">
        <v>39</v>
      </c>
      <c r="H821">
        <v>5</v>
      </c>
      <c r="I821" s="3">
        <v>100</v>
      </c>
      <c r="J821" s="3">
        <v>500</v>
      </c>
      <c r="K821" t="s">
        <v>17</v>
      </c>
      <c r="L821" t="s">
        <v>33</v>
      </c>
    </row>
    <row r="822" spans="1:12" x14ac:dyDescent="0.3">
      <c r="A822">
        <v>10620</v>
      </c>
      <c r="B822" s="2">
        <v>45545</v>
      </c>
      <c r="C822" t="s">
        <v>40</v>
      </c>
      <c r="D822" t="s">
        <v>31</v>
      </c>
      <c r="E822" t="s">
        <v>14</v>
      </c>
      <c r="F822" t="s">
        <v>15</v>
      </c>
      <c r="G822" t="s">
        <v>24</v>
      </c>
      <c r="H822">
        <v>4</v>
      </c>
      <c r="I822" s="3">
        <v>103</v>
      </c>
      <c r="J822" s="3">
        <v>412</v>
      </c>
      <c r="K822" t="s">
        <v>32</v>
      </c>
      <c r="L822" t="s">
        <v>18</v>
      </c>
    </row>
    <row r="823" spans="1:12" x14ac:dyDescent="0.3">
      <c r="A823">
        <v>10681</v>
      </c>
      <c r="B823" s="2">
        <v>45545</v>
      </c>
      <c r="C823" t="s">
        <v>12</v>
      </c>
      <c r="D823" t="s">
        <v>31</v>
      </c>
      <c r="E823" t="s">
        <v>14</v>
      </c>
      <c r="F823" t="s">
        <v>38</v>
      </c>
      <c r="G823" t="s">
        <v>43</v>
      </c>
      <c r="H823">
        <v>1</v>
      </c>
      <c r="I823" s="3">
        <v>135</v>
      </c>
      <c r="J823" s="3">
        <v>135</v>
      </c>
      <c r="K823" t="s">
        <v>30</v>
      </c>
      <c r="L823" t="s">
        <v>20</v>
      </c>
    </row>
    <row r="824" spans="1:12" x14ac:dyDescent="0.3">
      <c r="A824">
        <v>10728</v>
      </c>
      <c r="B824" s="2">
        <v>45545</v>
      </c>
      <c r="C824" t="s">
        <v>37</v>
      </c>
      <c r="D824" t="s">
        <v>26</v>
      </c>
      <c r="E824" t="s">
        <v>14</v>
      </c>
      <c r="F824" t="s">
        <v>38</v>
      </c>
      <c r="G824" t="s">
        <v>41</v>
      </c>
      <c r="H824">
        <v>5</v>
      </c>
      <c r="I824" s="3">
        <v>54</v>
      </c>
      <c r="J824" s="3">
        <v>270</v>
      </c>
      <c r="K824" t="s">
        <v>25</v>
      </c>
      <c r="L824" t="s">
        <v>33</v>
      </c>
    </row>
    <row r="825" spans="1:12" x14ac:dyDescent="0.3">
      <c r="A825">
        <v>10741</v>
      </c>
      <c r="B825" s="2">
        <v>45545</v>
      </c>
      <c r="C825" t="s">
        <v>21</v>
      </c>
      <c r="D825" t="s">
        <v>22</v>
      </c>
      <c r="E825" t="s">
        <v>23</v>
      </c>
      <c r="F825" t="s">
        <v>15</v>
      </c>
      <c r="G825" t="s">
        <v>16</v>
      </c>
      <c r="H825">
        <v>4</v>
      </c>
      <c r="I825" s="3">
        <v>87</v>
      </c>
      <c r="J825" s="3">
        <v>348</v>
      </c>
      <c r="K825" t="s">
        <v>35</v>
      </c>
      <c r="L825" t="s">
        <v>33</v>
      </c>
    </row>
    <row r="826" spans="1:12" x14ac:dyDescent="0.3">
      <c r="A826">
        <v>10785</v>
      </c>
      <c r="B826" s="2">
        <v>45545</v>
      </c>
      <c r="C826" t="s">
        <v>40</v>
      </c>
      <c r="D826" t="s">
        <v>42</v>
      </c>
      <c r="E826" t="s">
        <v>23</v>
      </c>
      <c r="F826" t="s">
        <v>15</v>
      </c>
      <c r="G826" t="s">
        <v>19</v>
      </c>
      <c r="H826">
        <v>4</v>
      </c>
      <c r="I826" s="3">
        <v>49</v>
      </c>
      <c r="J826" s="3">
        <v>196</v>
      </c>
      <c r="K826" t="s">
        <v>17</v>
      </c>
      <c r="L826" t="s">
        <v>27</v>
      </c>
    </row>
    <row r="827" spans="1:12" x14ac:dyDescent="0.3">
      <c r="A827">
        <v>11113</v>
      </c>
      <c r="B827" s="2">
        <v>45545</v>
      </c>
      <c r="C827" t="s">
        <v>21</v>
      </c>
      <c r="D827" t="s">
        <v>22</v>
      </c>
      <c r="E827" t="s">
        <v>23</v>
      </c>
      <c r="F827" t="s">
        <v>15</v>
      </c>
      <c r="G827" t="s">
        <v>24</v>
      </c>
      <c r="H827">
        <v>3</v>
      </c>
      <c r="I827" s="3">
        <v>139</v>
      </c>
      <c r="J827" s="3">
        <v>417</v>
      </c>
      <c r="K827" t="s">
        <v>32</v>
      </c>
      <c r="L827" t="s">
        <v>33</v>
      </c>
    </row>
    <row r="828" spans="1:12" x14ac:dyDescent="0.3">
      <c r="A828">
        <v>10320</v>
      </c>
      <c r="B828" s="2">
        <v>45546</v>
      </c>
      <c r="C828" t="s">
        <v>37</v>
      </c>
      <c r="D828" t="s">
        <v>22</v>
      </c>
      <c r="E828" t="s">
        <v>23</v>
      </c>
      <c r="F828" t="s">
        <v>15</v>
      </c>
      <c r="G828" t="s">
        <v>16</v>
      </c>
      <c r="H828">
        <v>1</v>
      </c>
      <c r="I828" s="3">
        <v>61</v>
      </c>
      <c r="J828" s="3">
        <v>61</v>
      </c>
      <c r="K828" t="s">
        <v>32</v>
      </c>
      <c r="L828" t="s">
        <v>33</v>
      </c>
    </row>
    <row r="829" spans="1:12" x14ac:dyDescent="0.3">
      <c r="A829">
        <v>10322</v>
      </c>
      <c r="B829" s="2">
        <v>45546</v>
      </c>
      <c r="C829" t="s">
        <v>21</v>
      </c>
      <c r="D829" t="s">
        <v>22</v>
      </c>
      <c r="E829" t="s">
        <v>23</v>
      </c>
      <c r="F829" t="s">
        <v>38</v>
      </c>
      <c r="G829" t="s">
        <v>43</v>
      </c>
      <c r="H829">
        <v>5</v>
      </c>
      <c r="I829" s="3">
        <v>39</v>
      </c>
      <c r="J829" s="3">
        <v>195</v>
      </c>
      <c r="K829" t="s">
        <v>25</v>
      </c>
      <c r="L829" t="s">
        <v>27</v>
      </c>
    </row>
    <row r="830" spans="1:12" x14ac:dyDescent="0.3">
      <c r="A830">
        <v>10586</v>
      </c>
      <c r="B830" s="2">
        <v>45546</v>
      </c>
      <c r="C830" t="s">
        <v>21</v>
      </c>
      <c r="D830" t="s">
        <v>22</v>
      </c>
      <c r="E830" t="s">
        <v>14</v>
      </c>
      <c r="F830" t="s">
        <v>15</v>
      </c>
      <c r="G830" t="s">
        <v>19</v>
      </c>
      <c r="H830">
        <v>1</v>
      </c>
      <c r="I830" s="3">
        <v>137</v>
      </c>
      <c r="J830" s="3">
        <v>137</v>
      </c>
      <c r="K830" t="s">
        <v>17</v>
      </c>
      <c r="L830" t="s">
        <v>27</v>
      </c>
    </row>
    <row r="831" spans="1:12" x14ac:dyDescent="0.3">
      <c r="A831">
        <v>10747</v>
      </c>
      <c r="B831" s="2">
        <v>45546</v>
      </c>
      <c r="C831" t="s">
        <v>37</v>
      </c>
      <c r="D831" t="s">
        <v>13</v>
      </c>
      <c r="E831" t="s">
        <v>23</v>
      </c>
      <c r="F831" t="s">
        <v>38</v>
      </c>
      <c r="G831" t="s">
        <v>41</v>
      </c>
      <c r="H831">
        <v>2</v>
      </c>
      <c r="I831" s="3">
        <v>106</v>
      </c>
      <c r="J831" s="3">
        <v>212</v>
      </c>
      <c r="K831" t="s">
        <v>35</v>
      </c>
      <c r="L831" t="s">
        <v>27</v>
      </c>
    </row>
    <row r="832" spans="1:12" x14ac:dyDescent="0.3">
      <c r="A832">
        <v>10759</v>
      </c>
      <c r="B832" s="2">
        <v>45546</v>
      </c>
      <c r="C832" t="s">
        <v>40</v>
      </c>
      <c r="D832" t="s">
        <v>13</v>
      </c>
      <c r="E832" t="s">
        <v>14</v>
      </c>
      <c r="F832" t="s">
        <v>15</v>
      </c>
      <c r="G832" t="s">
        <v>24</v>
      </c>
      <c r="H832">
        <v>5</v>
      </c>
      <c r="I832" s="3">
        <v>84</v>
      </c>
      <c r="J832" s="3">
        <v>420</v>
      </c>
      <c r="K832" t="s">
        <v>35</v>
      </c>
      <c r="L832" t="s">
        <v>33</v>
      </c>
    </row>
    <row r="833" spans="1:12" x14ac:dyDescent="0.3">
      <c r="A833">
        <v>10249</v>
      </c>
      <c r="B833" s="2">
        <v>45547</v>
      </c>
      <c r="C833" t="s">
        <v>37</v>
      </c>
      <c r="D833" t="s">
        <v>26</v>
      </c>
      <c r="E833" t="s">
        <v>23</v>
      </c>
      <c r="F833" t="s">
        <v>28</v>
      </c>
      <c r="G833" t="s">
        <v>29</v>
      </c>
      <c r="H833">
        <v>5</v>
      </c>
      <c r="I833" s="3">
        <v>82</v>
      </c>
      <c r="J833" s="3">
        <v>410</v>
      </c>
      <c r="K833" t="s">
        <v>30</v>
      </c>
      <c r="L833" t="s">
        <v>27</v>
      </c>
    </row>
    <row r="834" spans="1:12" x14ac:dyDescent="0.3">
      <c r="A834">
        <v>10667</v>
      </c>
      <c r="B834" s="2">
        <v>45547</v>
      </c>
      <c r="C834" t="s">
        <v>40</v>
      </c>
      <c r="D834" t="s">
        <v>26</v>
      </c>
      <c r="E834" t="s">
        <v>23</v>
      </c>
      <c r="F834" t="s">
        <v>28</v>
      </c>
      <c r="G834" t="s">
        <v>36</v>
      </c>
      <c r="H834">
        <v>1</v>
      </c>
      <c r="I834" s="3">
        <v>66</v>
      </c>
      <c r="J834" s="3">
        <v>66</v>
      </c>
      <c r="K834" t="s">
        <v>30</v>
      </c>
      <c r="L834" t="s">
        <v>18</v>
      </c>
    </row>
    <row r="835" spans="1:12" x14ac:dyDescent="0.3">
      <c r="A835">
        <v>10782</v>
      </c>
      <c r="B835" s="2">
        <v>45547</v>
      </c>
      <c r="C835" t="s">
        <v>37</v>
      </c>
      <c r="D835" t="s">
        <v>26</v>
      </c>
      <c r="E835" t="s">
        <v>23</v>
      </c>
      <c r="F835" t="s">
        <v>28</v>
      </c>
      <c r="G835" t="s">
        <v>29</v>
      </c>
      <c r="H835">
        <v>1</v>
      </c>
      <c r="I835" s="3">
        <v>52</v>
      </c>
      <c r="J835" s="3">
        <v>52</v>
      </c>
      <c r="K835" t="s">
        <v>35</v>
      </c>
      <c r="L835" t="s">
        <v>33</v>
      </c>
    </row>
    <row r="836" spans="1:12" x14ac:dyDescent="0.3">
      <c r="A836">
        <v>10124</v>
      </c>
      <c r="B836" s="2">
        <v>45549</v>
      </c>
      <c r="C836" t="s">
        <v>12</v>
      </c>
      <c r="D836" t="s">
        <v>22</v>
      </c>
      <c r="E836" t="s">
        <v>14</v>
      </c>
      <c r="F836" t="s">
        <v>15</v>
      </c>
      <c r="G836" t="s">
        <v>24</v>
      </c>
      <c r="H836">
        <v>1</v>
      </c>
      <c r="I836" s="3">
        <v>135</v>
      </c>
      <c r="J836" s="3">
        <v>135</v>
      </c>
      <c r="K836" t="s">
        <v>17</v>
      </c>
      <c r="L836" t="s">
        <v>33</v>
      </c>
    </row>
    <row r="837" spans="1:12" x14ac:dyDescent="0.3">
      <c r="A837">
        <v>11144</v>
      </c>
      <c r="B837" s="2">
        <v>45549</v>
      </c>
      <c r="C837" t="s">
        <v>21</v>
      </c>
      <c r="D837" t="s">
        <v>26</v>
      </c>
      <c r="E837" t="s">
        <v>14</v>
      </c>
      <c r="F837" t="s">
        <v>15</v>
      </c>
      <c r="G837" t="s">
        <v>16</v>
      </c>
      <c r="H837">
        <v>1</v>
      </c>
      <c r="I837" s="3">
        <v>67</v>
      </c>
      <c r="J837" s="3">
        <v>67</v>
      </c>
      <c r="K837" t="s">
        <v>32</v>
      </c>
      <c r="L837" t="s">
        <v>33</v>
      </c>
    </row>
    <row r="838" spans="1:12" x14ac:dyDescent="0.3">
      <c r="A838">
        <v>10737</v>
      </c>
      <c r="B838" s="2">
        <v>45550</v>
      </c>
      <c r="C838" t="s">
        <v>37</v>
      </c>
      <c r="D838" t="s">
        <v>22</v>
      </c>
      <c r="E838" t="s">
        <v>23</v>
      </c>
      <c r="F838" t="s">
        <v>38</v>
      </c>
      <c r="G838" t="s">
        <v>43</v>
      </c>
      <c r="H838">
        <v>4</v>
      </c>
      <c r="I838" s="3">
        <v>145</v>
      </c>
      <c r="J838" s="3">
        <v>580</v>
      </c>
      <c r="K838" t="s">
        <v>17</v>
      </c>
      <c r="L838" t="s">
        <v>18</v>
      </c>
    </row>
    <row r="839" spans="1:12" x14ac:dyDescent="0.3">
      <c r="A839">
        <v>10170</v>
      </c>
      <c r="B839" s="2">
        <v>45551</v>
      </c>
      <c r="C839" t="s">
        <v>40</v>
      </c>
      <c r="D839" t="s">
        <v>42</v>
      </c>
      <c r="E839" t="s">
        <v>23</v>
      </c>
      <c r="F839" t="s">
        <v>15</v>
      </c>
      <c r="G839" t="s">
        <v>19</v>
      </c>
      <c r="H839">
        <v>1</v>
      </c>
      <c r="I839" s="3">
        <v>149</v>
      </c>
      <c r="J839" s="3">
        <v>149</v>
      </c>
      <c r="K839" t="s">
        <v>25</v>
      </c>
      <c r="L839" t="s">
        <v>27</v>
      </c>
    </row>
    <row r="840" spans="1:12" x14ac:dyDescent="0.3">
      <c r="A840">
        <v>10206</v>
      </c>
      <c r="B840" s="2">
        <v>45551</v>
      </c>
      <c r="C840" t="s">
        <v>21</v>
      </c>
      <c r="D840" t="s">
        <v>22</v>
      </c>
      <c r="E840" t="s">
        <v>23</v>
      </c>
      <c r="F840" t="s">
        <v>15</v>
      </c>
      <c r="G840" t="s">
        <v>24</v>
      </c>
      <c r="H840">
        <v>3</v>
      </c>
      <c r="I840" s="3">
        <v>106</v>
      </c>
      <c r="J840" s="3">
        <v>318</v>
      </c>
      <c r="K840" t="s">
        <v>30</v>
      </c>
      <c r="L840" t="s">
        <v>18</v>
      </c>
    </row>
    <row r="841" spans="1:12" x14ac:dyDescent="0.3">
      <c r="A841">
        <v>10316</v>
      </c>
      <c r="B841" s="2">
        <v>45551</v>
      </c>
      <c r="C841" t="s">
        <v>37</v>
      </c>
      <c r="D841" t="s">
        <v>22</v>
      </c>
      <c r="E841" t="s">
        <v>23</v>
      </c>
      <c r="F841" t="s">
        <v>28</v>
      </c>
      <c r="G841" t="s">
        <v>34</v>
      </c>
      <c r="H841">
        <v>1</v>
      </c>
      <c r="I841" s="3">
        <v>121</v>
      </c>
      <c r="J841" s="3">
        <v>121</v>
      </c>
      <c r="K841" t="s">
        <v>30</v>
      </c>
      <c r="L841" t="s">
        <v>27</v>
      </c>
    </row>
    <row r="842" spans="1:12" x14ac:dyDescent="0.3">
      <c r="A842">
        <v>10186</v>
      </c>
      <c r="B842" s="2">
        <v>45552</v>
      </c>
      <c r="C842" t="s">
        <v>12</v>
      </c>
      <c r="D842" t="s">
        <v>31</v>
      </c>
      <c r="E842" t="s">
        <v>14</v>
      </c>
      <c r="F842" t="s">
        <v>15</v>
      </c>
      <c r="G842" t="s">
        <v>24</v>
      </c>
      <c r="H842">
        <v>2</v>
      </c>
      <c r="I842" s="3">
        <v>112</v>
      </c>
      <c r="J842" s="3">
        <v>224</v>
      </c>
      <c r="K842" t="s">
        <v>32</v>
      </c>
      <c r="L842" t="s">
        <v>20</v>
      </c>
    </row>
    <row r="843" spans="1:12" x14ac:dyDescent="0.3">
      <c r="A843">
        <v>10481</v>
      </c>
      <c r="B843" s="2">
        <v>45552</v>
      </c>
      <c r="C843" t="s">
        <v>21</v>
      </c>
      <c r="D843" t="s">
        <v>26</v>
      </c>
      <c r="E843" t="s">
        <v>14</v>
      </c>
      <c r="F843" t="s">
        <v>15</v>
      </c>
      <c r="G843" t="s">
        <v>16</v>
      </c>
      <c r="H843">
        <v>1</v>
      </c>
      <c r="I843" s="3">
        <v>74</v>
      </c>
      <c r="J843" s="3">
        <v>74</v>
      </c>
      <c r="K843" t="s">
        <v>32</v>
      </c>
      <c r="L843" t="s">
        <v>27</v>
      </c>
    </row>
    <row r="844" spans="1:12" x14ac:dyDescent="0.3">
      <c r="A844">
        <v>10564</v>
      </c>
      <c r="B844" s="2">
        <v>45552</v>
      </c>
      <c r="C844" t="s">
        <v>40</v>
      </c>
      <c r="D844" t="s">
        <v>26</v>
      </c>
      <c r="E844" t="s">
        <v>23</v>
      </c>
      <c r="F844" t="s">
        <v>15</v>
      </c>
      <c r="G844" t="s">
        <v>19</v>
      </c>
      <c r="H844">
        <v>2</v>
      </c>
      <c r="I844" s="3">
        <v>117</v>
      </c>
      <c r="J844" s="3">
        <v>234</v>
      </c>
      <c r="K844" t="s">
        <v>17</v>
      </c>
      <c r="L844" t="s">
        <v>18</v>
      </c>
    </row>
    <row r="845" spans="1:12" x14ac:dyDescent="0.3">
      <c r="A845">
        <v>10945</v>
      </c>
      <c r="B845" s="2">
        <v>45552</v>
      </c>
      <c r="C845" t="s">
        <v>21</v>
      </c>
      <c r="D845" t="s">
        <v>26</v>
      </c>
      <c r="E845" t="s">
        <v>14</v>
      </c>
      <c r="F845" t="s">
        <v>28</v>
      </c>
      <c r="G845" t="s">
        <v>29</v>
      </c>
      <c r="H845">
        <v>3</v>
      </c>
      <c r="I845" s="3">
        <v>109</v>
      </c>
      <c r="J845" s="3">
        <v>327</v>
      </c>
      <c r="K845" t="s">
        <v>30</v>
      </c>
      <c r="L845" t="s">
        <v>27</v>
      </c>
    </row>
    <row r="846" spans="1:12" x14ac:dyDescent="0.3">
      <c r="A846">
        <v>10288</v>
      </c>
      <c r="B846" s="2">
        <v>45553</v>
      </c>
      <c r="C846" t="s">
        <v>21</v>
      </c>
      <c r="D846" t="s">
        <v>42</v>
      </c>
      <c r="E846" t="s">
        <v>14</v>
      </c>
      <c r="F846" t="s">
        <v>28</v>
      </c>
      <c r="G846" t="s">
        <v>34</v>
      </c>
      <c r="H846">
        <v>3</v>
      </c>
      <c r="I846" s="3">
        <v>56</v>
      </c>
      <c r="J846" s="3">
        <v>168</v>
      </c>
      <c r="K846" t="s">
        <v>17</v>
      </c>
      <c r="L846" t="s">
        <v>27</v>
      </c>
    </row>
    <row r="847" spans="1:12" x14ac:dyDescent="0.3">
      <c r="A847">
        <v>11021</v>
      </c>
      <c r="B847" s="2">
        <v>45553</v>
      </c>
      <c r="C847" t="s">
        <v>21</v>
      </c>
      <c r="D847" t="s">
        <v>31</v>
      </c>
      <c r="E847" t="s">
        <v>23</v>
      </c>
      <c r="F847" t="s">
        <v>38</v>
      </c>
      <c r="G847" t="s">
        <v>39</v>
      </c>
      <c r="H847">
        <v>4</v>
      </c>
      <c r="I847" s="3">
        <v>35</v>
      </c>
      <c r="J847" s="3">
        <v>140</v>
      </c>
      <c r="K847" t="s">
        <v>25</v>
      </c>
      <c r="L847" t="s">
        <v>33</v>
      </c>
    </row>
    <row r="848" spans="1:12" x14ac:dyDescent="0.3">
      <c r="A848">
        <v>10794</v>
      </c>
      <c r="B848" s="2">
        <v>45554</v>
      </c>
      <c r="C848" t="s">
        <v>12</v>
      </c>
      <c r="D848" t="s">
        <v>42</v>
      </c>
      <c r="E848" t="s">
        <v>23</v>
      </c>
      <c r="F848" t="s">
        <v>38</v>
      </c>
      <c r="G848" t="s">
        <v>43</v>
      </c>
      <c r="H848">
        <v>1</v>
      </c>
      <c r="I848" s="3">
        <v>114</v>
      </c>
      <c r="J848" s="3">
        <v>114</v>
      </c>
      <c r="K848" t="s">
        <v>30</v>
      </c>
      <c r="L848" t="s">
        <v>27</v>
      </c>
    </row>
    <row r="849" spans="1:12" x14ac:dyDescent="0.3">
      <c r="A849">
        <v>10809</v>
      </c>
      <c r="B849" s="2">
        <v>45554</v>
      </c>
      <c r="C849" t="s">
        <v>21</v>
      </c>
      <c r="D849" t="s">
        <v>13</v>
      </c>
      <c r="E849" t="s">
        <v>14</v>
      </c>
      <c r="F849" t="s">
        <v>28</v>
      </c>
      <c r="G849" t="s">
        <v>29</v>
      </c>
      <c r="H849">
        <v>4</v>
      </c>
      <c r="I849" s="3">
        <v>144</v>
      </c>
      <c r="J849" s="3">
        <v>576</v>
      </c>
      <c r="K849" t="s">
        <v>17</v>
      </c>
      <c r="L849" t="s">
        <v>18</v>
      </c>
    </row>
    <row r="850" spans="1:12" x14ac:dyDescent="0.3">
      <c r="A850">
        <v>11032</v>
      </c>
      <c r="B850" s="2">
        <v>45554</v>
      </c>
      <c r="C850" t="s">
        <v>21</v>
      </c>
      <c r="D850" t="s">
        <v>22</v>
      </c>
      <c r="E850" t="s">
        <v>23</v>
      </c>
      <c r="F850" t="s">
        <v>15</v>
      </c>
      <c r="G850" t="s">
        <v>16</v>
      </c>
      <c r="H850">
        <v>5</v>
      </c>
      <c r="I850" s="3">
        <v>22</v>
      </c>
      <c r="J850" s="3">
        <v>110</v>
      </c>
      <c r="K850" t="s">
        <v>35</v>
      </c>
      <c r="L850" t="s">
        <v>20</v>
      </c>
    </row>
    <row r="851" spans="1:12" x14ac:dyDescent="0.3">
      <c r="A851">
        <v>11176</v>
      </c>
      <c r="B851" s="2">
        <v>45554</v>
      </c>
      <c r="C851" t="s">
        <v>40</v>
      </c>
      <c r="D851" t="s">
        <v>13</v>
      </c>
      <c r="E851" t="s">
        <v>14</v>
      </c>
      <c r="F851" t="s">
        <v>38</v>
      </c>
      <c r="G851" t="s">
        <v>43</v>
      </c>
      <c r="H851">
        <v>5</v>
      </c>
      <c r="I851" s="3">
        <v>119</v>
      </c>
      <c r="J851" s="3">
        <v>595</v>
      </c>
      <c r="K851" t="s">
        <v>35</v>
      </c>
      <c r="L851" t="s">
        <v>33</v>
      </c>
    </row>
    <row r="852" spans="1:12" x14ac:dyDescent="0.3">
      <c r="A852">
        <v>10020</v>
      </c>
      <c r="B852" s="2">
        <v>45555</v>
      </c>
      <c r="C852" t="s">
        <v>12</v>
      </c>
      <c r="D852" t="s">
        <v>26</v>
      </c>
      <c r="E852" t="s">
        <v>23</v>
      </c>
      <c r="F852" t="s">
        <v>28</v>
      </c>
      <c r="G852" t="s">
        <v>34</v>
      </c>
      <c r="H852">
        <v>3</v>
      </c>
      <c r="I852" s="3">
        <v>38</v>
      </c>
      <c r="J852" s="3">
        <v>114</v>
      </c>
      <c r="K852" t="s">
        <v>32</v>
      </c>
      <c r="L852" t="s">
        <v>20</v>
      </c>
    </row>
    <row r="853" spans="1:12" x14ac:dyDescent="0.3">
      <c r="A853">
        <v>10222</v>
      </c>
      <c r="B853" s="2">
        <v>45555</v>
      </c>
      <c r="C853" t="s">
        <v>37</v>
      </c>
      <c r="D853" t="s">
        <v>31</v>
      </c>
      <c r="E853" t="s">
        <v>23</v>
      </c>
      <c r="F853" t="s">
        <v>28</v>
      </c>
      <c r="G853" t="s">
        <v>36</v>
      </c>
      <c r="H853">
        <v>4</v>
      </c>
      <c r="I853" s="3">
        <v>129</v>
      </c>
      <c r="J853" s="3">
        <v>516</v>
      </c>
      <c r="K853" t="s">
        <v>25</v>
      </c>
      <c r="L853" t="s">
        <v>20</v>
      </c>
    </row>
    <row r="854" spans="1:12" x14ac:dyDescent="0.3">
      <c r="A854">
        <v>10441</v>
      </c>
      <c r="B854" s="2">
        <v>45555</v>
      </c>
      <c r="C854" t="s">
        <v>40</v>
      </c>
      <c r="D854" t="s">
        <v>31</v>
      </c>
      <c r="E854" t="s">
        <v>14</v>
      </c>
      <c r="F854" t="s">
        <v>38</v>
      </c>
      <c r="G854" t="s">
        <v>43</v>
      </c>
      <c r="H854">
        <v>2</v>
      </c>
      <c r="I854" s="3">
        <v>102</v>
      </c>
      <c r="J854" s="3">
        <v>204</v>
      </c>
      <c r="K854" t="s">
        <v>17</v>
      </c>
      <c r="L854" t="s">
        <v>18</v>
      </c>
    </row>
    <row r="855" spans="1:12" x14ac:dyDescent="0.3">
      <c r="A855">
        <v>10465</v>
      </c>
      <c r="B855" s="2">
        <v>45555</v>
      </c>
      <c r="C855" t="s">
        <v>37</v>
      </c>
      <c r="D855" t="s">
        <v>13</v>
      </c>
      <c r="E855" t="s">
        <v>14</v>
      </c>
      <c r="F855" t="s">
        <v>38</v>
      </c>
      <c r="G855" t="s">
        <v>41</v>
      </c>
      <c r="H855">
        <v>2</v>
      </c>
      <c r="I855" s="3">
        <v>39</v>
      </c>
      <c r="J855" s="3">
        <v>78</v>
      </c>
      <c r="K855" t="s">
        <v>32</v>
      </c>
      <c r="L855" t="s">
        <v>20</v>
      </c>
    </row>
    <row r="856" spans="1:12" x14ac:dyDescent="0.3">
      <c r="A856">
        <v>10715</v>
      </c>
      <c r="B856" s="2">
        <v>45555</v>
      </c>
      <c r="C856" t="s">
        <v>12</v>
      </c>
      <c r="D856" t="s">
        <v>13</v>
      </c>
      <c r="E856" t="s">
        <v>14</v>
      </c>
      <c r="F856" t="s">
        <v>28</v>
      </c>
      <c r="G856" t="s">
        <v>29</v>
      </c>
      <c r="H856">
        <v>3</v>
      </c>
      <c r="I856" s="3">
        <v>39</v>
      </c>
      <c r="J856" s="3">
        <v>117</v>
      </c>
      <c r="K856" t="s">
        <v>17</v>
      </c>
      <c r="L856" t="s">
        <v>20</v>
      </c>
    </row>
    <row r="857" spans="1:12" x14ac:dyDescent="0.3">
      <c r="A857">
        <v>10018</v>
      </c>
      <c r="B857" s="2">
        <v>45556</v>
      </c>
      <c r="C857" t="s">
        <v>21</v>
      </c>
      <c r="D857" t="s">
        <v>31</v>
      </c>
      <c r="E857" t="s">
        <v>14</v>
      </c>
      <c r="F857" t="s">
        <v>15</v>
      </c>
      <c r="G857" t="s">
        <v>24</v>
      </c>
      <c r="H857">
        <v>3</v>
      </c>
      <c r="I857" s="3">
        <v>132</v>
      </c>
      <c r="J857" s="3">
        <v>396</v>
      </c>
      <c r="K857" t="s">
        <v>32</v>
      </c>
      <c r="L857" t="s">
        <v>18</v>
      </c>
    </row>
    <row r="858" spans="1:12" x14ac:dyDescent="0.3">
      <c r="A858">
        <v>10282</v>
      </c>
      <c r="B858" s="2">
        <v>45556</v>
      </c>
      <c r="C858" t="s">
        <v>12</v>
      </c>
      <c r="D858" t="s">
        <v>22</v>
      </c>
      <c r="E858" t="s">
        <v>14</v>
      </c>
      <c r="F858" t="s">
        <v>15</v>
      </c>
      <c r="G858" t="s">
        <v>16</v>
      </c>
      <c r="H858">
        <v>2</v>
      </c>
      <c r="I858" s="3">
        <v>82</v>
      </c>
      <c r="J858" s="3">
        <v>164</v>
      </c>
      <c r="K858" t="s">
        <v>35</v>
      </c>
      <c r="L858" t="s">
        <v>27</v>
      </c>
    </row>
    <row r="859" spans="1:12" x14ac:dyDescent="0.3">
      <c r="A859">
        <v>10519</v>
      </c>
      <c r="B859" s="2">
        <v>45556</v>
      </c>
      <c r="C859" t="s">
        <v>37</v>
      </c>
      <c r="D859" t="s">
        <v>26</v>
      </c>
      <c r="E859" t="s">
        <v>23</v>
      </c>
      <c r="F859" t="s">
        <v>38</v>
      </c>
      <c r="G859" t="s">
        <v>41</v>
      </c>
      <c r="H859">
        <v>4</v>
      </c>
      <c r="I859" s="3">
        <v>81</v>
      </c>
      <c r="J859" s="3">
        <v>324</v>
      </c>
      <c r="K859" t="s">
        <v>30</v>
      </c>
      <c r="L859" t="s">
        <v>20</v>
      </c>
    </row>
    <row r="860" spans="1:12" x14ac:dyDescent="0.3">
      <c r="A860">
        <v>10875</v>
      </c>
      <c r="B860" s="2">
        <v>45556</v>
      </c>
      <c r="C860" t="s">
        <v>37</v>
      </c>
      <c r="D860" t="s">
        <v>22</v>
      </c>
      <c r="E860" t="s">
        <v>14</v>
      </c>
      <c r="F860" t="s">
        <v>38</v>
      </c>
      <c r="G860" t="s">
        <v>43</v>
      </c>
      <c r="H860">
        <v>1</v>
      </c>
      <c r="I860" s="3">
        <v>136</v>
      </c>
      <c r="J860" s="3">
        <v>136</v>
      </c>
      <c r="K860" t="s">
        <v>25</v>
      </c>
      <c r="L860" t="s">
        <v>18</v>
      </c>
    </row>
    <row r="861" spans="1:12" x14ac:dyDescent="0.3">
      <c r="A861">
        <v>11101</v>
      </c>
      <c r="B861" s="2">
        <v>45556</v>
      </c>
      <c r="C861" t="s">
        <v>12</v>
      </c>
      <c r="D861" t="s">
        <v>42</v>
      </c>
      <c r="E861" t="s">
        <v>14</v>
      </c>
      <c r="F861" t="s">
        <v>15</v>
      </c>
      <c r="G861" t="s">
        <v>16</v>
      </c>
      <c r="H861">
        <v>4</v>
      </c>
      <c r="I861" s="3">
        <v>101</v>
      </c>
      <c r="J861" s="3">
        <v>404</v>
      </c>
      <c r="K861" t="s">
        <v>25</v>
      </c>
      <c r="L861" t="s">
        <v>20</v>
      </c>
    </row>
    <row r="862" spans="1:12" x14ac:dyDescent="0.3">
      <c r="A862">
        <v>10176</v>
      </c>
      <c r="B862" s="2">
        <v>45557</v>
      </c>
      <c r="C862" t="s">
        <v>37</v>
      </c>
      <c r="D862" t="s">
        <v>31</v>
      </c>
      <c r="E862" t="s">
        <v>23</v>
      </c>
      <c r="F862" t="s">
        <v>28</v>
      </c>
      <c r="G862" t="s">
        <v>29</v>
      </c>
      <c r="H862">
        <v>4</v>
      </c>
      <c r="I862" s="3">
        <v>114</v>
      </c>
      <c r="J862" s="3">
        <v>456</v>
      </c>
      <c r="K862" t="s">
        <v>25</v>
      </c>
      <c r="L862" t="s">
        <v>27</v>
      </c>
    </row>
    <row r="863" spans="1:12" x14ac:dyDescent="0.3">
      <c r="A863">
        <v>10210</v>
      </c>
      <c r="B863" s="2">
        <v>45557</v>
      </c>
      <c r="C863" t="s">
        <v>12</v>
      </c>
      <c r="D863" t="s">
        <v>22</v>
      </c>
      <c r="E863" t="s">
        <v>23</v>
      </c>
      <c r="F863" t="s">
        <v>15</v>
      </c>
      <c r="G863" t="s">
        <v>24</v>
      </c>
      <c r="H863">
        <v>1</v>
      </c>
      <c r="I863" s="3">
        <v>55</v>
      </c>
      <c r="J863" s="3">
        <v>55</v>
      </c>
      <c r="K863" t="s">
        <v>30</v>
      </c>
      <c r="L863" t="s">
        <v>27</v>
      </c>
    </row>
    <row r="864" spans="1:12" x14ac:dyDescent="0.3">
      <c r="A864">
        <v>10895</v>
      </c>
      <c r="B864" s="2">
        <v>45557</v>
      </c>
      <c r="C864" t="s">
        <v>37</v>
      </c>
      <c r="D864" t="s">
        <v>13</v>
      </c>
      <c r="E864" t="s">
        <v>14</v>
      </c>
      <c r="F864" t="s">
        <v>28</v>
      </c>
      <c r="G864" t="s">
        <v>34</v>
      </c>
      <c r="H864">
        <v>3</v>
      </c>
      <c r="I864" s="3">
        <v>133</v>
      </c>
      <c r="J864" s="3">
        <v>399</v>
      </c>
      <c r="K864" t="s">
        <v>30</v>
      </c>
      <c r="L864" t="s">
        <v>33</v>
      </c>
    </row>
    <row r="865" spans="1:12" x14ac:dyDescent="0.3">
      <c r="A865">
        <v>10948</v>
      </c>
      <c r="B865" s="2">
        <v>45557</v>
      </c>
      <c r="C865" t="s">
        <v>12</v>
      </c>
      <c r="D865" t="s">
        <v>42</v>
      </c>
      <c r="E865" t="s">
        <v>14</v>
      </c>
      <c r="F865" t="s">
        <v>38</v>
      </c>
      <c r="G865" t="s">
        <v>43</v>
      </c>
      <c r="H865">
        <v>5</v>
      </c>
      <c r="I865" s="3">
        <v>40</v>
      </c>
      <c r="J865" s="3">
        <v>200</v>
      </c>
      <c r="K865" t="s">
        <v>30</v>
      </c>
      <c r="L865" t="s">
        <v>33</v>
      </c>
    </row>
    <row r="866" spans="1:12" x14ac:dyDescent="0.3">
      <c r="A866">
        <v>11165</v>
      </c>
      <c r="B866" s="2">
        <v>45557</v>
      </c>
      <c r="C866" t="s">
        <v>21</v>
      </c>
      <c r="D866" t="s">
        <v>31</v>
      </c>
      <c r="E866" t="s">
        <v>14</v>
      </c>
      <c r="F866" t="s">
        <v>28</v>
      </c>
      <c r="G866" t="s">
        <v>29</v>
      </c>
      <c r="H866">
        <v>1</v>
      </c>
      <c r="I866" s="3">
        <v>138</v>
      </c>
      <c r="J866" s="3">
        <v>138</v>
      </c>
      <c r="K866" t="s">
        <v>25</v>
      </c>
      <c r="L866" t="s">
        <v>33</v>
      </c>
    </row>
    <row r="867" spans="1:12" x14ac:dyDescent="0.3">
      <c r="A867">
        <v>10053</v>
      </c>
      <c r="B867" s="2">
        <v>45558</v>
      </c>
      <c r="C867" t="s">
        <v>21</v>
      </c>
      <c r="D867" t="s">
        <v>13</v>
      </c>
      <c r="E867" t="s">
        <v>23</v>
      </c>
      <c r="F867" t="s">
        <v>38</v>
      </c>
      <c r="G867" t="s">
        <v>39</v>
      </c>
      <c r="H867">
        <v>2</v>
      </c>
      <c r="I867" s="3">
        <v>90</v>
      </c>
      <c r="J867" s="3">
        <v>180</v>
      </c>
      <c r="K867" t="s">
        <v>30</v>
      </c>
      <c r="L867" t="s">
        <v>18</v>
      </c>
    </row>
    <row r="868" spans="1:12" x14ac:dyDescent="0.3">
      <c r="A868">
        <v>10280</v>
      </c>
      <c r="B868" s="2">
        <v>45558</v>
      </c>
      <c r="C868" t="s">
        <v>21</v>
      </c>
      <c r="D868" t="s">
        <v>26</v>
      </c>
      <c r="E868" t="s">
        <v>23</v>
      </c>
      <c r="F868" t="s">
        <v>38</v>
      </c>
      <c r="G868" t="s">
        <v>39</v>
      </c>
      <c r="H868">
        <v>4</v>
      </c>
      <c r="I868" s="3">
        <v>72</v>
      </c>
      <c r="J868" s="3">
        <v>288</v>
      </c>
      <c r="K868" t="s">
        <v>25</v>
      </c>
      <c r="L868" t="s">
        <v>27</v>
      </c>
    </row>
    <row r="869" spans="1:12" x14ac:dyDescent="0.3">
      <c r="A869">
        <v>10643</v>
      </c>
      <c r="B869" s="2">
        <v>45558</v>
      </c>
      <c r="C869" t="s">
        <v>37</v>
      </c>
      <c r="D869" t="s">
        <v>13</v>
      </c>
      <c r="E869" t="s">
        <v>23</v>
      </c>
      <c r="F869" t="s">
        <v>38</v>
      </c>
      <c r="G869" t="s">
        <v>43</v>
      </c>
      <c r="H869">
        <v>2</v>
      </c>
      <c r="I869" s="3">
        <v>69</v>
      </c>
      <c r="J869" s="3">
        <v>138</v>
      </c>
      <c r="K869" t="s">
        <v>17</v>
      </c>
      <c r="L869" t="s">
        <v>18</v>
      </c>
    </row>
    <row r="870" spans="1:12" x14ac:dyDescent="0.3">
      <c r="A870">
        <v>10693</v>
      </c>
      <c r="B870" s="2">
        <v>45558</v>
      </c>
      <c r="C870" t="s">
        <v>37</v>
      </c>
      <c r="D870" t="s">
        <v>42</v>
      </c>
      <c r="E870" t="s">
        <v>23</v>
      </c>
      <c r="F870" t="s">
        <v>28</v>
      </c>
      <c r="G870" t="s">
        <v>34</v>
      </c>
      <c r="H870">
        <v>1</v>
      </c>
      <c r="I870" s="3">
        <v>79</v>
      </c>
      <c r="J870" s="3">
        <v>79</v>
      </c>
      <c r="K870" t="s">
        <v>35</v>
      </c>
      <c r="L870" t="s">
        <v>27</v>
      </c>
    </row>
    <row r="871" spans="1:12" x14ac:dyDescent="0.3">
      <c r="A871">
        <v>11000</v>
      </c>
      <c r="B871" s="2">
        <v>45558</v>
      </c>
      <c r="C871" t="s">
        <v>12</v>
      </c>
      <c r="D871" t="s">
        <v>26</v>
      </c>
      <c r="E871" t="s">
        <v>14</v>
      </c>
      <c r="F871" t="s">
        <v>15</v>
      </c>
      <c r="G871" t="s">
        <v>19</v>
      </c>
      <c r="H871">
        <v>3</v>
      </c>
      <c r="I871" s="3">
        <v>129</v>
      </c>
      <c r="J871" s="3">
        <v>387</v>
      </c>
      <c r="K871" t="s">
        <v>35</v>
      </c>
      <c r="L871" t="s">
        <v>27</v>
      </c>
    </row>
    <row r="872" spans="1:12" x14ac:dyDescent="0.3">
      <c r="A872">
        <v>10067</v>
      </c>
      <c r="B872" s="2">
        <v>45559</v>
      </c>
      <c r="C872" t="s">
        <v>37</v>
      </c>
      <c r="D872" t="s">
        <v>22</v>
      </c>
      <c r="E872" t="s">
        <v>23</v>
      </c>
      <c r="F872" t="s">
        <v>15</v>
      </c>
      <c r="G872" t="s">
        <v>16</v>
      </c>
      <c r="H872">
        <v>4</v>
      </c>
      <c r="I872" s="3">
        <v>65</v>
      </c>
      <c r="J872" s="3">
        <v>260</v>
      </c>
      <c r="K872" t="s">
        <v>30</v>
      </c>
      <c r="L872" t="s">
        <v>27</v>
      </c>
    </row>
    <row r="873" spans="1:12" x14ac:dyDescent="0.3">
      <c r="A873">
        <v>10516</v>
      </c>
      <c r="B873" s="2">
        <v>45559</v>
      </c>
      <c r="C873" t="s">
        <v>12</v>
      </c>
      <c r="D873" t="s">
        <v>26</v>
      </c>
      <c r="E873" t="s">
        <v>23</v>
      </c>
      <c r="F873" t="s">
        <v>28</v>
      </c>
      <c r="G873" t="s">
        <v>29</v>
      </c>
      <c r="H873">
        <v>1</v>
      </c>
      <c r="I873" s="3">
        <v>20</v>
      </c>
      <c r="J873" s="3">
        <v>20</v>
      </c>
      <c r="K873" t="s">
        <v>30</v>
      </c>
      <c r="L873" t="s">
        <v>18</v>
      </c>
    </row>
    <row r="874" spans="1:12" x14ac:dyDescent="0.3">
      <c r="A874">
        <v>10511</v>
      </c>
      <c r="B874" s="2">
        <v>45560</v>
      </c>
      <c r="C874" t="s">
        <v>40</v>
      </c>
      <c r="D874" t="s">
        <v>31</v>
      </c>
      <c r="E874" t="s">
        <v>23</v>
      </c>
      <c r="F874" t="s">
        <v>15</v>
      </c>
      <c r="G874" t="s">
        <v>16</v>
      </c>
      <c r="H874">
        <v>1</v>
      </c>
      <c r="I874" s="3">
        <v>121</v>
      </c>
      <c r="J874" s="3">
        <v>121</v>
      </c>
      <c r="K874" t="s">
        <v>17</v>
      </c>
      <c r="L874" t="s">
        <v>20</v>
      </c>
    </row>
    <row r="875" spans="1:12" x14ac:dyDescent="0.3">
      <c r="A875">
        <v>10592</v>
      </c>
      <c r="B875" s="2">
        <v>45560</v>
      </c>
      <c r="C875" t="s">
        <v>12</v>
      </c>
      <c r="D875" t="s">
        <v>13</v>
      </c>
      <c r="E875" t="s">
        <v>14</v>
      </c>
      <c r="F875" t="s">
        <v>15</v>
      </c>
      <c r="G875" t="s">
        <v>19</v>
      </c>
      <c r="H875">
        <v>3</v>
      </c>
      <c r="I875" s="3">
        <v>125</v>
      </c>
      <c r="J875" s="3">
        <v>375</v>
      </c>
      <c r="K875" t="s">
        <v>25</v>
      </c>
      <c r="L875" t="s">
        <v>18</v>
      </c>
    </row>
    <row r="876" spans="1:12" x14ac:dyDescent="0.3">
      <c r="A876">
        <v>10123</v>
      </c>
      <c r="B876" s="2">
        <v>45561</v>
      </c>
      <c r="C876" t="s">
        <v>40</v>
      </c>
      <c r="D876" t="s">
        <v>31</v>
      </c>
      <c r="E876" t="s">
        <v>23</v>
      </c>
      <c r="F876" t="s">
        <v>38</v>
      </c>
      <c r="G876" t="s">
        <v>41</v>
      </c>
      <c r="H876">
        <v>2</v>
      </c>
      <c r="I876" s="3">
        <v>127</v>
      </c>
      <c r="J876" s="3">
        <v>254</v>
      </c>
      <c r="K876" t="s">
        <v>30</v>
      </c>
      <c r="L876" t="s">
        <v>33</v>
      </c>
    </row>
    <row r="877" spans="1:12" x14ac:dyDescent="0.3">
      <c r="A877">
        <v>10227</v>
      </c>
      <c r="B877" s="2">
        <v>45561</v>
      </c>
      <c r="C877" t="s">
        <v>21</v>
      </c>
      <c r="D877" t="s">
        <v>22</v>
      </c>
      <c r="E877" t="s">
        <v>23</v>
      </c>
      <c r="F877" t="s">
        <v>28</v>
      </c>
      <c r="G877" t="s">
        <v>36</v>
      </c>
      <c r="H877">
        <v>5</v>
      </c>
      <c r="I877" s="3">
        <v>40</v>
      </c>
      <c r="J877" s="3">
        <v>200</v>
      </c>
      <c r="K877" t="s">
        <v>25</v>
      </c>
      <c r="L877" t="s">
        <v>18</v>
      </c>
    </row>
    <row r="878" spans="1:12" x14ac:dyDescent="0.3">
      <c r="A878">
        <v>10538</v>
      </c>
      <c r="B878" s="2">
        <v>45561</v>
      </c>
      <c r="C878" t="s">
        <v>37</v>
      </c>
      <c r="D878" t="s">
        <v>31</v>
      </c>
      <c r="E878" t="s">
        <v>23</v>
      </c>
      <c r="F878" t="s">
        <v>15</v>
      </c>
      <c r="G878" t="s">
        <v>24</v>
      </c>
      <c r="H878">
        <v>4</v>
      </c>
      <c r="I878" s="3">
        <v>145</v>
      </c>
      <c r="J878" s="3">
        <v>580</v>
      </c>
      <c r="K878" t="s">
        <v>32</v>
      </c>
      <c r="L878" t="s">
        <v>18</v>
      </c>
    </row>
    <row r="879" spans="1:12" x14ac:dyDescent="0.3">
      <c r="A879">
        <v>10689</v>
      </c>
      <c r="B879" s="2">
        <v>45561</v>
      </c>
      <c r="C879" t="s">
        <v>40</v>
      </c>
      <c r="D879" t="s">
        <v>42</v>
      </c>
      <c r="E879" t="s">
        <v>23</v>
      </c>
      <c r="F879" t="s">
        <v>38</v>
      </c>
      <c r="G879" t="s">
        <v>39</v>
      </c>
      <c r="H879">
        <v>4</v>
      </c>
      <c r="I879" s="3">
        <v>148</v>
      </c>
      <c r="J879" s="3">
        <v>592</v>
      </c>
      <c r="K879" t="s">
        <v>30</v>
      </c>
      <c r="L879" t="s">
        <v>33</v>
      </c>
    </row>
    <row r="880" spans="1:12" x14ac:dyDescent="0.3">
      <c r="A880">
        <v>11055</v>
      </c>
      <c r="B880" s="2">
        <v>45561</v>
      </c>
      <c r="C880" t="s">
        <v>12</v>
      </c>
      <c r="D880" t="s">
        <v>31</v>
      </c>
      <c r="E880" t="s">
        <v>14</v>
      </c>
      <c r="F880" t="s">
        <v>38</v>
      </c>
      <c r="G880" t="s">
        <v>41</v>
      </c>
      <c r="H880">
        <v>5</v>
      </c>
      <c r="I880" s="3">
        <v>127</v>
      </c>
      <c r="J880" s="3">
        <v>635</v>
      </c>
      <c r="K880" t="s">
        <v>35</v>
      </c>
      <c r="L880" t="s">
        <v>18</v>
      </c>
    </row>
    <row r="881" spans="1:12" x14ac:dyDescent="0.3">
      <c r="A881">
        <v>11120</v>
      </c>
      <c r="B881" s="2">
        <v>45561</v>
      </c>
      <c r="C881" t="s">
        <v>12</v>
      </c>
      <c r="D881" t="s">
        <v>31</v>
      </c>
      <c r="E881" t="s">
        <v>23</v>
      </c>
      <c r="F881" t="s">
        <v>38</v>
      </c>
      <c r="G881" t="s">
        <v>39</v>
      </c>
      <c r="H881">
        <v>5</v>
      </c>
      <c r="I881" s="3">
        <v>74</v>
      </c>
      <c r="J881" s="3">
        <v>370</v>
      </c>
      <c r="K881" t="s">
        <v>17</v>
      </c>
      <c r="L881" t="s">
        <v>18</v>
      </c>
    </row>
    <row r="882" spans="1:12" x14ac:dyDescent="0.3">
      <c r="A882">
        <v>11152</v>
      </c>
      <c r="B882" s="2">
        <v>45561</v>
      </c>
      <c r="C882" t="s">
        <v>12</v>
      </c>
      <c r="D882" t="s">
        <v>26</v>
      </c>
      <c r="E882" t="s">
        <v>23</v>
      </c>
      <c r="F882" t="s">
        <v>38</v>
      </c>
      <c r="G882" t="s">
        <v>43</v>
      </c>
      <c r="H882">
        <v>5</v>
      </c>
      <c r="I882" s="3">
        <v>135</v>
      </c>
      <c r="J882" s="3">
        <v>675</v>
      </c>
      <c r="K882" t="s">
        <v>35</v>
      </c>
      <c r="L882" t="s">
        <v>27</v>
      </c>
    </row>
    <row r="883" spans="1:12" x14ac:dyDescent="0.3">
      <c r="A883">
        <v>10257</v>
      </c>
      <c r="B883" s="2">
        <v>45562</v>
      </c>
      <c r="C883" t="s">
        <v>40</v>
      </c>
      <c r="D883" t="s">
        <v>13</v>
      </c>
      <c r="E883" t="s">
        <v>14</v>
      </c>
      <c r="F883" t="s">
        <v>15</v>
      </c>
      <c r="G883" t="s">
        <v>19</v>
      </c>
      <c r="H883">
        <v>5</v>
      </c>
      <c r="I883" s="3">
        <v>44</v>
      </c>
      <c r="J883" s="3">
        <v>220</v>
      </c>
      <c r="K883" t="s">
        <v>17</v>
      </c>
      <c r="L883" t="s">
        <v>27</v>
      </c>
    </row>
    <row r="884" spans="1:12" x14ac:dyDescent="0.3">
      <c r="A884">
        <v>10637</v>
      </c>
      <c r="B884" s="2">
        <v>45562</v>
      </c>
      <c r="C884" t="s">
        <v>40</v>
      </c>
      <c r="D884" t="s">
        <v>26</v>
      </c>
      <c r="E884" t="s">
        <v>14</v>
      </c>
      <c r="F884" t="s">
        <v>15</v>
      </c>
      <c r="G884" t="s">
        <v>16</v>
      </c>
      <c r="H884">
        <v>4</v>
      </c>
      <c r="I884" s="3">
        <v>66</v>
      </c>
      <c r="J884" s="3">
        <v>264</v>
      </c>
      <c r="K884" t="s">
        <v>32</v>
      </c>
      <c r="L884" t="s">
        <v>20</v>
      </c>
    </row>
    <row r="885" spans="1:12" x14ac:dyDescent="0.3">
      <c r="A885">
        <v>10111</v>
      </c>
      <c r="B885" s="2">
        <v>45563</v>
      </c>
      <c r="C885" t="s">
        <v>37</v>
      </c>
      <c r="D885" t="s">
        <v>13</v>
      </c>
      <c r="E885" t="s">
        <v>23</v>
      </c>
      <c r="F885" t="s">
        <v>28</v>
      </c>
      <c r="G885" t="s">
        <v>34</v>
      </c>
      <c r="H885">
        <v>5</v>
      </c>
      <c r="I885" s="3">
        <v>113</v>
      </c>
      <c r="J885" s="3">
        <v>565</v>
      </c>
      <c r="K885" t="s">
        <v>30</v>
      </c>
      <c r="L885" t="s">
        <v>33</v>
      </c>
    </row>
    <row r="886" spans="1:12" x14ac:dyDescent="0.3">
      <c r="A886">
        <v>10309</v>
      </c>
      <c r="B886" s="2">
        <v>45563</v>
      </c>
      <c r="C886" t="s">
        <v>40</v>
      </c>
      <c r="D886" t="s">
        <v>22</v>
      </c>
      <c r="E886" t="s">
        <v>14</v>
      </c>
      <c r="F886" t="s">
        <v>15</v>
      </c>
      <c r="G886" t="s">
        <v>24</v>
      </c>
      <c r="H886">
        <v>2</v>
      </c>
      <c r="I886" s="3">
        <v>37</v>
      </c>
      <c r="J886" s="3">
        <v>74</v>
      </c>
      <c r="K886" t="s">
        <v>30</v>
      </c>
      <c r="L886" t="s">
        <v>33</v>
      </c>
    </row>
    <row r="887" spans="1:12" x14ac:dyDescent="0.3">
      <c r="A887">
        <v>10668</v>
      </c>
      <c r="B887" s="2">
        <v>45563</v>
      </c>
      <c r="C887" t="s">
        <v>40</v>
      </c>
      <c r="D887" t="s">
        <v>22</v>
      </c>
      <c r="E887" t="s">
        <v>23</v>
      </c>
      <c r="F887" t="s">
        <v>15</v>
      </c>
      <c r="G887" t="s">
        <v>16</v>
      </c>
      <c r="H887">
        <v>2</v>
      </c>
      <c r="I887" s="3">
        <v>50</v>
      </c>
      <c r="J887" s="3">
        <v>100</v>
      </c>
      <c r="K887" t="s">
        <v>17</v>
      </c>
      <c r="L887" t="s">
        <v>20</v>
      </c>
    </row>
    <row r="888" spans="1:12" x14ac:dyDescent="0.3">
      <c r="A888">
        <v>10822</v>
      </c>
      <c r="B888" s="2">
        <v>45563</v>
      </c>
      <c r="C888" t="s">
        <v>21</v>
      </c>
      <c r="D888" t="s">
        <v>13</v>
      </c>
      <c r="E888" t="s">
        <v>14</v>
      </c>
      <c r="F888" t="s">
        <v>15</v>
      </c>
      <c r="G888" t="s">
        <v>24</v>
      </c>
      <c r="H888">
        <v>2</v>
      </c>
      <c r="I888" s="3">
        <v>58</v>
      </c>
      <c r="J888" s="3">
        <v>116</v>
      </c>
      <c r="K888" t="s">
        <v>30</v>
      </c>
      <c r="L888" t="s">
        <v>27</v>
      </c>
    </row>
    <row r="889" spans="1:12" x14ac:dyDescent="0.3">
      <c r="A889">
        <v>11049</v>
      </c>
      <c r="B889" s="2">
        <v>45563</v>
      </c>
      <c r="C889" t="s">
        <v>37</v>
      </c>
      <c r="D889" t="s">
        <v>22</v>
      </c>
      <c r="E889" t="s">
        <v>14</v>
      </c>
      <c r="F889" t="s">
        <v>15</v>
      </c>
      <c r="G889" t="s">
        <v>16</v>
      </c>
      <c r="H889">
        <v>2</v>
      </c>
      <c r="I889" s="3">
        <v>129</v>
      </c>
      <c r="J889" s="3">
        <v>258</v>
      </c>
      <c r="K889" t="s">
        <v>30</v>
      </c>
      <c r="L889" t="s">
        <v>20</v>
      </c>
    </row>
    <row r="890" spans="1:12" x14ac:dyDescent="0.3">
      <c r="A890">
        <v>11140</v>
      </c>
      <c r="B890" s="2">
        <v>45563</v>
      </c>
      <c r="C890" t="s">
        <v>21</v>
      </c>
      <c r="D890" t="s">
        <v>22</v>
      </c>
      <c r="E890" t="s">
        <v>23</v>
      </c>
      <c r="F890" t="s">
        <v>38</v>
      </c>
      <c r="G890" t="s">
        <v>41</v>
      </c>
      <c r="H890">
        <v>5</v>
      </c>
      <c r="I890" s="3">
        <v>90</v>
      </c>
      <c r="J890" s="3">
        <v>450</v>
      </c>
      <c r="K890" t="s">
        <v>25</v>
      </c>
      <c r="L890" t="s">
        <v>18</v>
      </c>
    </row>
    <row r="891" spans="1:12" x14ac:dyDescent="0.3">
      <c r="A891">
        <v>10621</v>
      </c>
      <c r="B891" s="2">
        <v>45564</v>
      </c>
      <c r="C891" t="s">
        <v>37</v>
      </c>
      <c r="D891" t="s">
        <v>42</v>
      </c>
      <c r="E891" t="s">
        <v>23</v>
      </c>
      <c r="F891" t="s">
        <v>28</v>
      </c>
      <c r="G891" t="s">
        <v>36</v>
      </c>
      <c r="H891">
        <v>2</v>
      </c>
      <c r="I891" s="3">
        <v>135</v>
      </c>
      <c r="J891" s="3">
        <v>270</v>
      </c>
      <c r="K891" t="s">
        <v>32</v>
      </c>
      <c r="L891" t="s">
        <v>20</v>
      </c>
    </row>
    <row r="892" spans="1:12" x14ac:dyDescent="0.3">
      <c r="A892">
        <v>10160</v>
      </c>
      <c r="B892" s="2">
        <v>45565</v>
      </c>
      <c r="C892" t="s">
        <v>12</v>
      </c>
      <c r="D892" t="s">
        <v>26</v>
      </c>
      <c r="E892" t="s">
        <v>23</v>
      </c>
      <c r="F892" t="s">
        <v>15</v>
      </c>
      <c r="G892" t="s">
        <v>19</v>
      </c>
      <c r="H892">
        <v>4</v>
      </c>
      <c r="I892" s="3">
        <v>79</v>
      </c>
      <c r="J892" s="3">
        <v>316</v>
      </c>
      <c r="K892" t="s">
        <v>32</v>
      </c>
      <c r="L892" t="s">
        <v>33</v>
      </c>
    </row>
    <row r="893" spans="1:12" x14ac:dyDescent="0.3">
      <c r="A893">
        <v>10218</v>
      </c>
      <c r="B893" s="2">
        <v>45565</v>
      </c>
      <c r="C893" t="s">
        <v>40</v>
      </c>
      <c r="D893" t="s">
        <v>13</v>
      </c>
      <c r="E893" t="s">
        <v>23</v>
      </c>
      <c r="F893" t="s">
        <v>28</v>
      </c>
      <c r="G893" t="s">
        <v>36</v>
      </c>
      <c r="H893">
        <v>5</v>
      </c>
      <c r="I893" s="3">
        <v>79</v>
      </c>
      <c r="J893" s="3">
        <v>395</v>
      </c>
      <c r="K893" t="s">
        <v>32</v>
      </c>
      <c r="L893" t="s">
        <v>18</v>
      </c>
    </row>
    <row r="894" spans="1:12" x14ac:dyDescent="0.3">
      <c r="A894">
        <v>10764</v>
      </c>
      <c r="B894" s="2">
        <v>45565</v>
      </c>
      <c r="C894" t="s">
        <v>12</v>
      </c>
      <c r="D894" t="s">
        <v>42</v>
      </c>
      <c r="E894" t="s">
        <v>23</v>
      </c>
      <c r="F894" t="s">
        <v>38</v>
      </c>
      <c r="G894" t="s">
        <v>43</v>
      </c>
      <c r="H894">
        <v>3</v>
      </c>
      <c r="I894" s="3">
        <v>51</v>
      </c>
      <c r="J894" s="3">
        <v>153</v>
      </c>
      <c r="K894" t="s">
        <v>25</v>
      </c>
      <c r="L894" t="s">
        <v>27</v>
      </c>
    </row>
    <row r="895" spans="1:12" x14ac:dyDescent="0.3">
      <c r="A895">
        <v>11194</v>
      </c>
      <c r="B895" s="2">
        <v>45565</v>
      </c>
      <c r="C895" t="s">
        <v>21</v>
      </c>
      <c r="D895" t="s">
        <v>31</v>
      </c>
      <c r="E895" t="s">
        <v>23</v>
      </c>
      <c r="F895" t="s">
        <v>28</v>
      </c>
      <c r="G895" t="s">
        <v>34</v>
      </c>
      <c r="H895">
        <v>1</v>
      </c>
      <c r="I895" s="3">
        <v>70</v>
      </c>
      <c r="J895" s="3">
        <v>70</v>
      </c>
      <c r="K895" t="s">
        <v>25</v>
      </c>
      <c r="L895" t="s">
        <v>27</v>
      </c>
    </row>
    <row r="896" spans="1:12" x14ac:dyDescent="0.3">
      <c r="A896">
        <v>10113</v>
      </c>
      <c r="B896" s="2">
        <v>45566</v>
      </c>
      <c r="C896" t="s">
        <v>40</v>
      </c>
      <c r="D896" t="s">
        <v>42</v>
      </c>
      <c r="E896" t="s">
        <v>23</v>
      </c>
      <c r="F896" t="s">
        <v>28</v>
      </c>
      <c r="G896" t="s">
        <v>29</v>
      </c>
      <c r="H896">
        <v>1</v>
      </c>
      <c r="I896" s="3">
        <v>87</v>
      </c>
      <c r="J896" s="3">
        <v>87</v>
      </c>
      <c r="K896" t="s">
        <v>35</v>
      </c>
      <c r="L896" t="s">
        <v>27</v>
      </c>
    </row>
    <row r="897" spans="1:12" x14ac:dyDescent="0.3">
      <c r="A897">
        <v>10253</v>
      </c>
      <c r="B897" s="2">
        <v>45566</v>
      </c>
      <c r="C897" t="s">
        <v>37</v>
      </c>
      <c r="D897" t="s">
        <v>31</v>
      </c>
      <c r="E897" t="s">
        <v>23</v>
      </c>
      <c r="F897" t="s">
        <v>28</v>
      </c>
      <c r="G897" t="s">
        <v>34</v>
      </c>
      <c r="H897">
        <v>5</v>
      </c>
      <c r="I897" s="3">
        <v>90</v>
      </c>
      <c r="J897" s="3">
        <v>450</v>
      </c>
      <c r="K897" t="s">
        <v>32</v>
      </c>
      <c r="L897" t="s">
        <v>18</v>
      </c>
    </row>
    <row r="898" spans="1:12" x14ac:dyDescent="0.3">
      <c r="A898">
        <v>10373</v>
      </c>
      <c r="B898" s="2">
        <v>45566</v>
      </c>
      <c r="C898" t="s">
        <v>37</v>
      </c>
      <c r="D898" t="s">
        <v>42</v>
      </c>
      <c r="E898" t="s">
        <v>23</v>
      </c>
      <c r="F898" t="s">
        <v>28</v>
      </c>
      <c r="G898" t="s">
        <v>36</v>
      </c>
      <c r="H898">
        <v>1</v>
      </c>
      <c r="I898" s="3">
        <v>93</v>
      </c>
      <c r="J898" s="3">
        <v>93</v>
      </c>
      <c r="K898" t="s">
        <v>30</v>
      </c>
      <c r="L898" t="s">
        <v>27</v>
      </c>
    </row>
    <row r="899" spans="1:12" x14ac:dyDescent="0.3">
      <c r="A899">
        <v>11087</v>
      </c>
      <c r="B899" s="2">
        <v>45566</v>
      </c>
      <c r="C899" t="s">
        <v>12</v>
      </c>
      <c r="D899" t="s">
        <v>42</v>
      </c>
      <c r="E899" t="s">
        <v>23</v>
      </c>
      <c r="F899" t="s">
        <v>38</v>
      </c>
      <c r="G899" t="s">
        <v>39</v>
      </c>
      <c r="H899">
        <v>4</v>
      </c>
      <c r="I899" s="3">
        <v>141</v>
      </c>
      <c r="J899" s="3">
        <v>564</v>
      </c>
      <c r="K899" t="s">
        <v>17</v>
      </c>
      <c r="L899" t="s">
        <v>27</v>
      </c>
    </row>
    <row r="900" spans="1:12" x14ac:dyDescent="0.3">
      <c r="A900">
        <v>10057</v>
      </c>
      <c r="B900" s="2">
        <v>45567</v>
      </c>
      <c r="C900" t="s">
        <v>12</v>
      </c>
      <c r="D900" t="s">
        <v>42</v>
      </c>
      <c r="E900" t="s">
        <v>14</v>
      </c>
      <c r="F900" t="s">
        <v>38</v>
      </c>
      <c r="G900" t="s">
        <v>39</v>
      </c>
      <c r="H900">
        <v>4</v>
      </c>
      <c r="I900" s="3">
        <v>127</v>
      </c>
      <c r="J900" s="3">
        <v>508</v>
      </c>
      <c r="K900" t="s">
        <v>35</v>
      </c>
      <c r="L900" t="s">
        <v>27</v>
      </c>
    </row>
    <row r="901" spans="1:12" x14ac:dyDescent="0.3">
      <c r="A901">
        <v>10449</v>
      </c>
      <c r="B901" s="2">
        <v>45567</v>
      </c>
      <c r="C901" t="s">
        <v>40</v>
      </c>
      <c r="D901" t="s">
        <v>26</v>
      </c>
      <c r="E901" t="s">
        <v>14</v>
      </c>
      <c r="F901" t="s">
        <v>28</v>
      </c>
      <c r="G901" t="s">
        <v>34</v>
      </c>
      <c r="H901">
        <v>1</v>
      </c>
      <c r="I901" s="3">
        <v>120</v>
      </c>
      <c r="J901" s="3">
        <v>120</v>
      </c>
      <c r="K901" t="s">
        <v>35</v>
      </c>
      <c r="L901" t="s">
        <v>20</v>
      </c>
    </row>
    <row r="902" spans="1:12" x14ac:dyDescent="0.3">
      <c r="A902">
        <v>10061</v>
      </c>
      <c r="B902" s="2">
        <v>45568</v>
      </c>
      <c r="C902" t="s">
        <v>40</v>
      </c>
      <c r="D902" t="s">
        <v>26</v>
      </c>
      <c r="E902" t="s">
        <v>14</v>
      </c>
      <c r="F902" t="s">
        <v>38</v>
      </c>
      <c r="G902" t="s">
        <v>41</v>
      </c>
      <c r="H902">
        <v>4</v>
      </c>
      <c r="I902" s="3">
        <v>24</v>
      </c>
      <c r="J902" s="3">
        <v>96</v>
      </c>
      <c r="K902" t="s">
        <v>25</v>
      </c>
      <c r="L902" t="s">
        <v>18</v>
      </c>
    </row>
    <row r="903" spans="1:12" x14ac:dyDescent="0.3">
      <c r="A903">
        <v>10258</v>
      </c>
      <c r="B903" s="2">
        <v>45570</v>
      </c>
      <c r="C903" t="s">
        <v>40</v>
      </c>
      <c r="D903" t="s">
        <v>13</v>
      </c>
      <c r="E903" t="s">
        <v>23</v>
      </c>
      <c r="F903" t="s">
        <v>38</v>
      </c>
      <c r="G903" t="s">
        <v>41</v>
      </c>
      <c r="H903">
        <v>1</v>
      </c>
      <c r="I903" s="3">
        <v>91</v>
      </c>
      <c r="J903" s="3">
        <v>91</v>
      </c>
      <c r="K903" t="s">
        <v>25</v>
      </c>
      <c r="L903" t="s">
        <v>20</v>
      </c>
    </row>
    <row r="904" spans="1:12" x14ac:dyDescent="0.3">
      <c r="A904">
        <v>10345</v>
      </c>
      <c r="B904" s="2">
        <v>45570</v>
      </c>
      <c r="C904" t="s">
        <v>21</v>
      </c>
      <c r="D904" t="s">
        <v>26</v>
      </c>
      <c r="E904" t="s">
        <v>23</v>
      </c>
      <c r="F904" t="s">
        <v>38</v>
      </c>
      <c r="G904" t="s">
        <v>43</v>
      </c>
      <c r="H904">
        <v>3</v>
      </c>
      <c r="I904" s="3">
        <v>142</v>
      </c>
      <c r="J904" s="3">
        <v>426</v>
      </c>
      <c r="K904" t="s">
        <v>30</v>
      </c>
      <c r="L904" t="s">
        <v>33</v>
      </c>
    </row>
    <row r="905" spans="1:12" x14ac:dyDescent="0.3">
      <c r="A905">
        <v>10524</v>
      </c>
      <c r="B905" s="2">
        <v>45570</v>
      </c>
      <c r="C905" t="s">
        <v>21</v>
      </c>
      <c r="D905" t="s">
        <v>13</v>
      </c>
      <c r="E905" t="s">
        <v>14</v>
      </c>
      <c r="F905" t="s">
        <v>28</v>
      </c>
      <c r="G905" t="s">
        <v>29</v>
      </c>
      <c r="H905">
        <v>4</v>
      </c>
      <c r="I905" s="3">
        <v>38</v>
      </c>
      <c r="J905" s="3">
        <v>152</v>
      </c>
      <c r="K905" t="s">
        <v>35</v>
      </c>
      <c r="L905" t="s">
        <v>27</v>
      </c>
    </row>
    <row r="906" spans="1:12" x14ac:dyDescent="0.3">
      <c r="A906">
        <v>10211</v>
      </c>
      <c r="B906" s="2">
        <v>45571</v>
      </c>
      <c r="C906" t="s">
        <v>37</v>
      </c>
      <c r="D906" t="s">
        <v>26</v>
      </c>
      <c r="E906" t="s">
        <v>23</v>
      </c>
      <c r="F906" t="s">
        <v>38</v>
      </c>
      <c r="G906" t="s">
        <v>41</v>
      </c>
      <c r="H906">
        <v>4</v>
      </c>
      <c r="I906" s="3">
        <v>107</v>
      </c>
      <c r="J906" s="3">
        <v>428</v>
      </c>
      <c r="K906" t="s">
        <v>32</v>
      </c>
      <c r="L906" t="s">
        <v>20</v>
      </c>
    </row>
    <row r="907" spans="1:12" x14ac:dyDescent="0.3">
      <c r="A907">
        <v>10302</v>
      </c>
      <c r="B907" s="2">
        <v>45572</v>
      </c>
      <c r="C907" t="s">
        <v>12</v>
      </c>
      <c r="D907" t="s">
        <v>22</v>
      </c>
      <c r="E907" t="s">
        <v>23</v>
      </c>
      <c r="F907" t="s">
        <v>38</v>
      </c>
      <c r="G907" t="s">
        <v>39</v>
      </c>
      <c r="H907">
        <v>3</v>
      </c>
      <c r="I907" s="3">
        <v>106</v>
      </c>
      <c r="J907" s="3">
        <v>318</v>
      </c>
      <c r="K907" t="s">
        <v>35</v>
      </c>
      <c r="L907" t="s">
        <v>18</v>
      </c>
    </row>
    <row r="908" spans="1:12" x14ac:dyDescent="0.3">
      <c r="A908">
        <v>10402</v>
      </c>
      <c r="B908" s="2">
        <v>45572</v>
      </c>
      <c r="C908" t="s">
        <v>37</v>
      </c>
      <c r="D908" t="s">
        <v>42</v>
      </c>
      <c r="E908" t="s">
        <v>14</v>
      </c>
      <c r="F908" t="s">
        <v>38</v>
      </c>
      <c r="G908" t="s">
        <v>39</v>
      </c>
      <c r="H908">
        <v>4</v>
      </c>
      <c r="I908" s="3">
        <v>51</v>
      </c>
      <c r="J908" s="3">
        <v>204</v>
      </c>
      <c r="K908" t="s">
        <v>32</v>
      </c>
      <c r="L908" t="s">
        <v>18</v>
      </c>
    </row>
    <row r="909" spans="1:12" x14ac:dyDescent="0.3">
      <c r="A909">
        <v>10554</v>
      </c>
      <c r="B909" s="2">
        <v>45572</v>
      </c>
      <c r="C909" t="s">
        <v>21</v>
      </c>
      <c r="D909" t="s">
        <v>26</v>
      </c>
      <c r="E909" t="s">
        <v>14</v>
      </c>
      <c r="F909" t="s">
        <v>38</v>
      </c>
      <c r="G909" t="s">
        <v>41</v>
      </c>
      <c r="H909">
        <v>4</v>
      </c>
      <c r="I909" s="3">
        <v>32</v>
      </c>
      <c r="J909" s="3">
        <v>128</v>
      </c>
      <c r="K909" t="s">
        <v>30</v>
      </c>
      <c r="L909" t="s">
        <v>27</v>
      </c>
    </row>
    <row r="910" spans="1:12" x14ac:dyDescent="0.3">
      <c r="A910">
        <v>10561</v>
      </c>
      <c r="B910" s="2">
        <v>45572</v>
      </c>
      <c r="C910" t="s">
        <v>21</v>
      </c>
      <c r="D910" t="s">
        <v>22</v>
      </c>
      <c r="E910" t="s">
        <v>14</v>
      </c>
      <c r="F910" t="s">
        <v>28</v>
      </c>
      <c r="G910" t="s">
        <v>36</v>
      </c>
      <c r="H910">
        <v>5</v>
      </c>
      <c r="I910" s="3">
        <v>86</v>
      </c>
      <c r="J910" s="3">
        <v>430</v>
      </c>
      <c r="K910" t="s">
        <v>25</v>
      </c>
      <c r="L910" t="s">
        <v>27</v>
      </c>
    </row>
    <row r="911" spans="1:12" x14ac:dyDescent="0.3">
      <c r="A911">
        <v>10293</v>
      </c>
      <c r="B911" s="2">
        <v>45573</v>
      </c>
      <c r="C911" t="s">
        <v>40</v>
      </c>
      <c r="D911" t="s">
        <v>22</v>
      </c>
      <c r="E911" t="s">
        <v>14</v>
      </c>
      <c r="F911" t="s">
        <v>28</v>
      </c>
      <c r="G911" t="s">
        <v>29</v>
      </c>
      <c r="H911">
        <v>5</v>
      </c>
      <c r="I911" s="3">
        <v>146</v>
      </c>
      <c r="J911" s="3">
        <v>730</v>
      </c>
      <c r="K911" t="s">
        <v>35</v>
      </c>
      <c r="L911" t="s">
        <v>33</v>
      </c>
    </row>
    <row r="912" spans="1:12" x14ac:dyDescent="0.3">
      <c r="A912">
        <v>10451</v>
      </c>
      <c r="B912" s="2">
        <v>45573</v>
      </c>
      <c r="C912" t="s">
        <v>21</v>
      </c>
      <c r="D912" t="s">
        <v>22</v>
      </c>
      <c r="E912" t="s">
        <v>14</v>
      </c>
      <c r="F912" t="s">
        <v>28</v>
      </c>
      <c r="G912" t="s">
        <v>36</v>
      </c>
      <c r="H912">
        <v>5</v>
      </c>
      <c r="I912" s="3">
        <v>33</v>
      </c>
      <c r="J912" s="3">
        <v>165</v>
      </c>
      <c r="K912" t="s">
        <v>35</v>
      </c>
      <c r="L912" t="s">
        <v>18</v>
      </c>
    </row>
    <row r="913" spans="1:12" x14ac:dyDescent="0.3">
      <c r="A913">
        <v>10487</v>
      </c>
      <c r="B913" s="2">
        <v>45573</v>
      </c>
      <c r="C913" t="s">
        <v>37</v>
      </c>
      <c r="D913" t="s">
        <v>22</v>
      </c>
      <c r="E913" t="s">
        <v>23</v>
      </c>
      <c r="F913" t="s">
        <v>15</v>
      </c>
      <c r="G913" t="s">
        <v>24</v>
      </c>
      <c r="H913">
        <v>1</v>
      </c>
      <c r="I913" s="3">
        <v>43</v>
      </c>
      <c r="J913" s="3">
        <v>43</v>
      </c>
      <c r="K913" t="s">
        <v>35</v>
      </c>
      <c r="L913" t="s">
        <v>33</v>
      </c>
    </row>
    <row r="914" spans="1:12" x14ac:dyDescent="0.3">
      <c r="A914">
        <v>10591</v>
      </c>
      <c r="B914" s="2">
        <v>45573</v>
      </c>
      <c r="C914" t="s">
        <v>40</v>
      </c>
      <c r="D914" t="s">
        <v>26</v>
      </c>
      <c r="E914" t="s">
        <v>23</v>
      </c>
      <c r="F914" t="s">
        <v>38</v>
      </c>
      <c r="G914" t="s">
        <v>39</v>
      </c>
      <c r="H914">
        <v>1</v>
      </c>
      <c r="I914" s="3">
        <v>129</v>
      </c>
      <c r="J914" s="3">
        <v>129</v>
      </c>
      <c r="K914" t="s">
        <v>32</v>
      </c>
      <c r="L914" t="s">
        <v>18</v>
      </c>
    </row>
    <row r="915" spans="1:12" x14ac:dyDescent="0.3">
      <c r="A915">
        <v>10623</v>
      </c>
      <c r="B915" s="2">
        <v>45573</v>
      </c>
      <c r="C915" t="s">
        <v>40</v>
      </c>
      <c r="D915" t="s">
        <v>31</v>
      </c>
      <c r="E915" t="s">
        <v>23</v>
      </c>
      <c r="F915" t="s">
        <v>28</v>
      </c>
      <c r="G915" t="s">
        <v>29</v>
      </c>
      <c r="H915">
        <v>1</v>
      </c>
      <c r="I915" s="3">
        <v>114</v>
      </c>
      <c r="J915" s="3">
        <v>114</v>
      </c>
      <c r="K915" t="s">
        <v>25</v>
      </c>
      <c r="L915" t="s">
        <v>33</v>
      </c>
    </row>
    <row r="916" spans="1:12" x14ac:dyDescent="0.3">
      <c r="A916">
        <v>10479</v>
      </c>
      <c r="B916" s="2">
        <v>45574</v>
      </c>
      <c r="C916" t="s">
        <v>21</v>
      </c>
      <c r="D916" t="s">
        <v>13</v>
      </c>
      <c r="E916" t="s">
        <v>23</v>
      </c>
      <c r="F916" t="s">
        <v>15</v>
      </c>
      <c r="G916" t="s">
        <v>19</v>
      </c>
      <c r="H916">
        <v>2</v>
      </c>
      <c r="I916" s="3">
        <v>125</v>
      </c>
      <c r="J916" s="3">
        <v>250</v>
      </c>
      <c r="K916" t="s">
        <v>17</v>
      </c>
      <c r="L916" t="s">
        <v>27</v>
      </c>
    </row>
    <row r="917" spans="1:12" x14ac:dyDescent="0.3">
      <c r="A917">
        <v>10798</v>
      </c>
      <c r="B917" s="2">
        <v>45574</v>
      </c>
      <c r="C917" t="s">
        <v>40</v>
      </c>
      <c r="D917" t="s">
        <v>31</v>
      </c>
      <c r="E917" t="s">
        <v>14</v>
      </c>
      <c r="F917" t="s">
        <v>15</v>
      </c>
      <c r="G917" t="s">
        <v>19</v>
      </c>
      <c r="H917">
        <v>3</v>
      </c>
      <c r="I917" s="3">
        <v>32</v>
      </c>
      <c r="J917" s="3">
        <v>96</v>
      </c>
      <c r="K917" t="s">
        <v>17</v>
      </c>
      <c r="L917" t="s">
        <v>27</v>
      </c>
    </row>
    <row r="918" spans="1:12" x14ac:dyDescent="0.3">
      <c r="A918">
        <v>10996</v>
      </c>
      <c r="B918" s="2">
        <v>45574</v>
      </c>
      <c r="C918" t="s">
        <v>37</v>
      </c>
      <c r="D918" t="s">
        <v>22</v>
      </c>
      <c r="E918" t="s">
        <v>14</v>
      </c>
      <c r="F918" t="s">
        <v>28</v>
      </c>
      <c r="G918" t="s">
        <v>36</v>
      </c>
      <c r="H918">
        <v>3</v>
      </c>
      <c r="I918" s="3">
        <v>92</v>
      </c>
      <c r="J918" s="3">
        <v>276</v>
      </c>
      <c r="K918" t="s">
        <v>25</v>
      </c>
      <c r="L918" t="s">
        <v>20</v>
      </c>
    </row>
    <row r="919" spans="1:12" x14ac:dyDescent="0.3">
      <c r="A919">
        <v>11192</v>
      </c>
      <c r="B919" s="2">
        <v>45574</v>
      </c>
      <c r="C919" t="s">
        <v>21</v>
      </c>
      <c r="D919" t="s">
        <v>13</v>
      </c>
      <c r="E919" t="s">
        <v>23</v>
      </c>
      <c r="F919" t="s">
        <v>38</v>
      </c>
      <c r="G919" t="s">
        <v>41</v>
      </c>
      <c r="H919">
        <v>4</v>
      </c>
      <c r="I919" s="3">
        <v>40</v>
      </c>
      <c r="J919" s="3">
        <v>160</v>
      </c>
      <c r="K919" t="s">
        <v>25</v>
      </c>
      <c r="L919" t="s">
        <v>18</v>
      </c>
    </row>
    <row r="920" spans="1:12" x14ac:dyDescent="0.3">
      <c r="A920">
        <v>10248</v>
      </c>
      <c r="B920" s="2">
        <v>45575</v>
      </c>
      <c r="C920" t="s">
        <v>21</v>
      </c>
      <c r="D920" t="s">
        <v>26</v>
      </c>
      <c r="E920" t="s">
        <v>14</v>
      </c>
      <c r="F920" t="s">
        <v>15</v>
      </c>
      <c r="G920" t="s">
        <v>16</v>
      </c>
      <c r="H920">
        <v>1</v>
      </c>
      <c r="I920" s="3">
        <v>86</v>
      </c>
      <c r="J920" s="3">
        <v>86</v>
      </c>
      <c r="K920" t="s">
        <v>32</v>
      </c>
      <c r="L920" t="s">
        <v>33</v>
      </c>
    </row>
    <row r="921" spans="1:12" x14ac:dyDescent="0.3">
      <c r="A921">
        <v>10655</v>
      </c>
      <c r="B921" s="2">
        <v>45575</v>
      </c>
      <c r="C921" t="s">
        <v>40</v>
      </c>
      <c r="D921" t="s">
        <v>42</v>
      </c>
      <c r="E921" t="s">
        <v>14</v>
      </c>
      <c r="F921" t="s">
        <v>38</v>
      </c>
      <c r="G921" t="s">
        <v>43</v>
      </c>
      <c r="H921">
        <v>2</v>
      </c>
      <c r="I921" s="3">
        <v>65</v>
      </c>
      <c r="J921" s="3">
        <v>130</v>
      </c>
      <c r="K921" t="s">
        <v>35</v>
      </c>
      <c r="L921" t="s">
        <v>27</v>
      </c>
    </row>
    <row r="922" spans="1:12" x14ac:dyDescent="0.3">
      <c r="A922">
        <v>10709</v>
      </c>
      <c r="B922" s="2">
        <v>45575</v>
      </c>
      <c r="C922" t="s">
        <v>21</v>
      </c>
      <c r="D922" t="s">
        <v>31</v>
      </c>
      <c r="E922" t="s">
        <v>23</v>
      </c>
      <c r="F922" t="s">
        <v>28</v>
      </c>
      <c r="G922" t="s">
        <v>34</v>
      </c>
      <c r="H922">
        <v>4</v>
      </c>
      <c r="I922" s="3">
        <v>94</v>
      </c>
      <c r="J922" s="3">
        <v>376</v>
      </c>
      <c r="K922" t="s">
        <v>17</v>
      </c>
      <c r="L922" t="s">
        <v>33</v>
      </c>
    </row>
    <row r="923" spans="1:12" x14ac:dyDescent="0.3">
      <c r="A923">
        <v>10941</v>
      </c>
      <c r="B923" s="2">
        <v>45575</v>
      </c>
      <c r="C923" t="s">
        <v>12</v>
      </c>
      <c r="D923" t="s">
        <v>26</v>
      </c>
      <c r="E923" t="s">
        <v>23</v>
      </c>
      <c r="F923" t="s">
        <v>38</v>
      </c>
      <c r="G923" t="s">
        <v>43</v>
      </c>
      <c r="H923">
        <v>5</v>
      </c>
      <c r="I923" s="3">
        <v>59</v>
      </c>
      <c r="J923" s="3">
        <v>295</v>
      </c>
      <c r="K923" t="s">
        <v>30</v>
      </c>
      <c r="L923" t="s">
        <v>33</v>
      </c>
    </row>
    <row r="924" spans="1:12" x14ac:dyDescent="0.3">
      <c r="A924">
        <v>10071</v>
      </c>
      <c r="B924" s="2">
        <v>45576</v>
      </c>
      <c r="C924" t="s">
        <v>12</v>
      </c>
      <c r="D924" t="s">
        <v>42</v>
      </c>
      <c r="E924" t="s">
        <v>23</v>
      </c>
      <c r="F924" t="s">
        <v>28</v>
      </c>
      <c r="G924" t="s">
        <v>34</v>
      </c>
      <c r="H924">
        <v>4</v>
      </c>
      <c r="I924" s="3">
        <v>145</v>
      </c>
      <c r="J924" s="3">
        <v>580</v>
      </c>
      <c r="K924" t="s">
        <v>30</v>
      </c>
      <c r="L924" t="s">
        <v>18</v>
      </c>
    </row>
    <row r="925" spans="1:12" x14ac:dyDescent="0.3">
      <c r="A925">
        <v>10130</v>
      </c>
      <c r="B925" s="2">
        <v>45576</v>
      </c>
      <c r="C925" t="s">
        <v>40</v>
      </c>
      <c r="D925" t="s">
        <v>22</v>
      </c>
      <c r="E925" t="s">
        <v>23</v>
      </c>
      <c r="F925" t="s">
        <v>38</v>
      </c>
      <c r="G925" t="s">
        <v>41</v>
      </c>
      <c r="H925">
        <v>3</v>
      </c>
      <c r="I925" s="3">
        <v>53</v>
      </c>
      <c r="J925" s="3">
        <v>159</v>
      </c>
      <c r="K925" t="s">
        <v>25</v>
      </c>
      <c r="L925" t="s">
        <v>27</v>
      </c>
    </row>
    <row r="926" spans="1:12" x14ac:dyDescent="0.3">
      <c r="A926">
        <v>10289</v>
      </c>
      <c r="B926" s="2">
        <v>45576</v>
      </c>
      <c r="C926" t="s">
        <v>12</v>
      </c>
      <c r="D926" t="s">
        <v>42</v>
      </c>
      <c r="E926" t="s">
        <v>23</v>
      </c>
      <c r="F926" t="s">
        <v>38</v>
      </c>
      <c r="G926" t="s">
        <v>41</v>
      </c>
      <c r="H926">
        <v>4</v>
      </c>
      <c r="I926" s="3">
        <v>64</v>
      </c>
      <c r="J926" s="3">
        <v>256</v>
      </c>
      <c r="K926" t="s">
        <v>32</v>
      </c>
      <c r="L926" t="s">
        <v>20</v>
      </c>
    </row>
    <row r="927" spans="1:12" x14ac:dyDescent="0.3">
      <c r="A927">
        <v>10547</v>
      </c>
      <c r="B927" s="2">
        <v>45576</v>
      </c>
      <c r="C927" t="s">
        <v>12</v>
      </c>
      <c r="D927" t="s">
        <v>31</v>
      </c>
      <c r="E927" t="s">
        <v>14</v>
      </c>
      <c r="F927" t="s">
        <v>28</v>
      </c>
      <c r="G927" t="s">
        <v>36</v>
      </c>
      <c r="H927">
        <v>3</v>
      </c>
      <c r="I927" s="3">
        <v>150</v>
      </c>
      <c r="J927" s="3">
        <v>450</v>
      </c>
      <c r="K927" t="s">
        <v>30</v>
      </c>
      <c r="L927" t="s">
        <v>33</v>
      </c>
    </row>
    <row r="928" spans="1:12" x14ac:dyDescent="0.3">
      <c r="A928">
        <v>10616</v>
      </c>
      <c r="B928" s="2">
        <v>45576</v>
      </c>
      <c r="C928" t="s">
        <v>40</v>
      </c>
      <c r="D928" t="s">
        <v>26</v>
      </c>
      <c r="E928" t="s">
        <v>23</v>
      </c>
      <c r="F928" t="s">
        <v>38</v>
      </c>
      <c r="G928" t="s">
        <v>43</v>
      </c>
      <c r="H928">
        <v>1</v>
      </c>
      <c r="I928" s="3">
        <v>103</v>
      </c>
      <c r="J928" s="3">
        <v>103</v>
      </c>
      <c r="K928" t="s">
        <v>30</v>
      </c>
      <c r="L928" t="s">
        <v>27</v>
      </c>
    </row>
    <row r="929" spans="1:12" x14ac:dyDescent="0.3">
      <c r="A929">
        <v>10984</v>
      </c>
      <c r="B929" s="2">
        <v>45576</v>
      </c>
      <c r="C929" t="s">
        <v>21</v>
      </c>
      <c r="D929" t="s">
        <v>31</v>
      </c>
      <c r="E929" t="s">
        <v>14</v>
      </c>
      <c r="F929" t="s">
        <v>38</v>
      </c>
      <c r="G929" t="s">
        <v>43</v>
      </c>
      <c r="H929">
        <v>1</v>
      </c>
      <c r="I929" s="3">
        <v>120</v>
      </c>
      <c r="J929" s="3">
        <v>120</v>
      </c>
      <c r="K929" t="s">
        <v>32</v>
      </c>
      <c r="L929" t="s">
        <v>18</v>
      </c>
    </row>
    <row r="930" spans="1:12" x14ac:dyDescent="0.3">
      <c r="A930">
        <v>10985</v>
      </c>
      <c r="B930" s="2">
        <v>45576</v>
      </c>
      <c r="C930" t="s">
        <v>21</v>
      </c>
      <c r="D930" t="s">
        <v>26</v>
      </c>
      <c r="E930" t="s">
        <v>14</v>
      </c>
      <c r="F930" t="s">
        <v>28</v>
      </c>
      <c r="G930" t="s">
        <v>36</v>
      </c>
      <c r="H930">
        <v>2</v>
      </c>
      <c r="I930" s="3">
        <v>21</v>
      </c>
      <c r="J930" s="3">
        <v>42</v>
      </c>
      <c r="K930" t="s">
        <v>25</v>
      </c>
      <c r="L930" t="s">
        <v>20</v>
      </c>
    </row>
    <row r="931" spans="1:12" x14ac:dyDescent="0.3">
      <c r="A931">
        <v>10239</v>
      </c>
      <c r="B931" s="2">
        <v>45577</v>
      </c>
      <c r="C931" t="s">
        <v>12</v>
      </c>
      <c r="D931" t="s">
        <v>42</v>
      </c>
      <c r="E931" t="s">
        <v>23</v>
      </c>
      <c r="F931" t="s">
        <v>38</v>
      </c>
      <c r="G931" t="s">
        <v>39</v>
      </c>
      <c r="H931">
        <v>3</v>
      </c>
      <c r="I931" s="3">
        <v>35</v>
      </c>
      <c r="J931" s="3">
        <v>105</v>
      </c>
      <c r="K931" t="s">
        <v>25</v>
      </c>
      <c r="L931" t="s">
        <v>33</v>
      </c>
    </row>
    <row r="932" spans="1:12" x14ac:dyDescent="0.3">
      <c r="A932">
        <v>10265</v>
      </c>
      <c r="B932" s="2">
        <v>45577</v>
      </c>
      <c r="C932" t="s">
        <v>21</v>
      </c>
      <c r="D932" t="s">
        <v>31</v>
      </c>
      <c r="E932" t="s">
        <v>14</v>
      </c>
      <c r="F932" t="s">
        <v>28</v>
      </c>
      <c r="G932" t="s">
        <v>34</v>
      </c>
      <c r="H932">
        <v>4</v>
      </c>
      <c r="I932" s="3">
        <v>134</v>
      </c>
      <c r="J932" s="3">
        <v>536</v>
      </c>
      <c r="K932" t="s">
        <v>25</v>
      </c>
      <c r="L932" t="s">
        <v>33</v>
      </c>
    </row>
    <row r="933" spans="1:12" x14ac:dyDescent="0.3">
      <c r="A933">
        <v>10532</v>
      </c>
      <c r="B933" s="2">
        <v>45578</v>
      </c>
      <c r="C933" t="s">
        <v>37</v>
      </c>
      <c r="D933" t="s">
        <v>22</v>
      </c>
      <c r="E933" t="s">
        <v>23</v>
      </c>
      <c r="F933" t="s">
        <v>38</v>
      </c>
      <c r="G933" t="s">
        <v>41</v>
      </c>
      <c r="H933">
        <v>4</v>
      </c>
      <c r="I933" s="3">
        <v>132</v>
      </c>
      <c r="J933" s="3">
        <v>528</v>
      </c>
      <c r="K933" t="s">
        <v>32</v>
      </c>
      <c r="L933" t="s">
        <v>20</v>
      </c>
    </row>
    <row r="934" spans="1:12" x14ac:dyDescent="0.3">
      <c r="A934">
        <v>10555</v>
      </c>
      <c r="B934" s="2">
        <v>45578</v>
      </c>
      <c r="C934" t="s">
        <v>12</v>
      </c>
      <c r="D934" t="s">
        <v>42</v>
      </c>
      <c r="E934" t="s">
        <v>23</v>
      </c>
      <c r="F934" t="s">
        <v>15</v>
      </c>
      <c r="G934" t="s">
        <v>16</v>
      </c>
      <c r="H934">
        <v>2</v>
      </c>
      <c r="I934" s="3">
        <v>143</v>
      </c>
      <c r="J934" s="3">
        <v>286</v>
      </c>
      <c r="K934" t="s">
        <v>17</v>
      </c>
      <c r="L934" t="s">
        <v>20</v>
      </c>
    </row>
    <row r="935" spans="1:12" x14ac:dyDescent="0.3">
      <c r="A935">
        <v>10718</v>
      </c>
      <c r="B935" s="2">
        <v>45578</v>
      </c>
      <c r="C935" t="s">
        <v>40</v>
      </c>
      <c r="D935" t="s">
        <v>42</v>
      </c>
      <c r="E935" t="s">
        <v>23</v>
      </c>
      <c r="F935" t="s">
        <v>28</v>
      </c>
      <c r="G935" t="s">
        <v>36</v>
      </c>
      <c r="H935">
        <v>2</v>
      </c>
      <c r="I935" s="3">
        <v>68</v>
      </c>
      <c r="J935" s="3">
        <v>136</v>
      </c>
      <c r="K935" t="s">
        <v>25</v>
      </c>
      <c r="L935" t="s">
        <v>18</v>
      </c>
    </row>
    <row r="936" spans="1:12" x14ac:dyDescent="0.3">
      <c r="A936">
        <v>10780</v>
      </c>
      <c r="B936" s="2">
        <v>45578</v>
      </c>
      <c r="C936" t="s">
        <v>40</v>
      </c>
      <c r="D936" t="s">
        <v>22</v>
      </c>
      <c r="E936" t="s">
        <v>14</v>
      </c>
      <c r="F936" t="s">
        <v>38</v>
      </c>
      <c r="G936" t="s">
        <v>39</v>
      </c>
      <c r="H936">
        <v>3</v>
      </c>
      <c r="I936" s="3">
        <v>53</v>
      </c>
      <c r="J936" s="3">
        <v>159</v>
      </c>
      <c r="K936" t="s">
        <v>35</v>
      </c>
      <c r="L936" t="s">
        <v>20</v>
      </c>
    </row>
    <row r="937" spans="1:12" x14ac:dyDescent="0.3">
      <c r="A937">
        <v>11028</v>
      </c>
      <c r="B937" s="2">
        <v>45578</v>
      </c>
      <c r="C937" t="s">
        <v>37</v>
      </c>
      <c r="D937" t="s">
        <v>26</v>
      </c>
      <c r="E937" t="s">
        <v>23</v>
      </c>
      <c r="F937" t="s">
        <v>28</v>
      </c>
      <c r="G937" t="s">
        <v>29</v>
      </c>
      <c r="H937">
        <v>5</v>
      </c>
      <c r="I937" s="3">
        <v>84</v>
      </c>
      <c r="J937" s="3">
        <v>420</v>
      </c>
      <c r="K937" t="s">
        <v>25</v>
      </c>
      <c r="L937" t="s">
        <v>27</v>
      </c>
    </row>
    <row r="938" spans="1:12" x14ac:dyDescent="0.3">
      <c r="A938">
        <v>10010</v>
      </c>
      <c r="B938" s="2">
        <v>45579</v>
      </c>
      <c r="C938" t="s">
        <v>37</v>
      </c>
      <c r="D938" t="s">
        <v>22</v>
      </c>
      <c r="E938" t="s">
        <v>23</v>
      </c>
      <c r="F938" t="s">
        <v>28</v>
      </c>
      <c r="G938" t="s">
        <v>29</v>
      </c>
      <c r="H938">
        <v>2</v>
      </c>
      <c r="I938" s="3">
        <v>83</v>
      </c>
      <c r="J938" s="3">
        <v>166</v>
      </c>
      <c r="K938" t="s">
        <v>17</v>
      </c>
      <c r="L938" t="s">
        <v>27</v>
      </c>
    </row>
    <row r="939" spans="1:12" x14ac:dyDescent="0.3">
      <c r="A939">
        <v>10183</v>
      </c>
      <c r="B939" s="2">
        <v>45579</v>
      </c>
      <c r="C939" t="s">
        <v>40</v>
      </c>
      <c r="D939" t="s">
        <v>26</v>
      </c>
      <c r="E939" t="s">
        <v>23</v>
      </c>
      <c r="F939" t="s">
        <v>15</v>
      </c>
      <c r="G939" t="s">
        <v>16</v>
      </c>
      <c r="H939">
        <v>4</v>
      </c>
      <c r="I939" s="3">
        <v>119</v>
      </c>
      <c r="J939" s="3">
        <v>476</v>
      </c>
      <c r="K939" t="s">
        <v>30</v>
      </c>
      <c r="L939" t="s">
        <v>20</v>
      </c>
    </row>
    <row r="940" spans="1:12" x14ac:dyDescent="0.3">
      <c r="A940">
        <v>10565</v>
      </c>
      <c r="B940" s="2">
        <v>45579</v>
      </c>
      <c r="C940" t="s">
        <v>40</v>
      </c>
      <c r="D940" t="s">
        <v>31</v>
      </c>
      <c r="E940" t="s">
        <v>14</v>
      </c>
      <c r="F940" t="s">
        <v>28</v>
      </c>
      <c r="G940" t="s">
        <v>34</v>
      </c>
      <c r="H940">
        <v>5</v>
      </c>
      <c r="I940" s="3">
        <v>137</v>
      </c>
      <c r="J940" s="3">
        <v>685</v>
      </c>
      <c r="K940" t="s">
        <v>17</v>
      </c>
      <c r="L940" t="s">
        <v>33</v>
      </c>
    </row>
    <row r="941" spans="1:12" x14ac:dyDescent="0.3">
      <c r="A941">
        <v>10818</v>
      </c>
      <c r="B941" s="2">
        <v>45579</v>
      </c>
      <c r="C941" t="s">
        <v>40</v>
      </c>
      <c r="D941" t="s">
        <v>22</v>
      </c>
      <c r="E941" t="s">
        <v>14</v>
      </c>
      <c r="F941" t="s">
        <v>28</v>
      </c>
      <c r="G941" t="s">
        <v>36</v>
      </c>
      <c r="H941">
        <v>5</v>
      </c>
      <c r="I941" s="3">
        <v>46</v>
      </c>
      <c r="J941" s="3">
        <v>230</v>
      </c>
      <c r="K941" t="s">
        <v>32</v>
      </c>
      <c r="L941" t="s">
        <v>18</v>
      </c>
    </row>
    <row r="942" spans="1:12" x14ac:dyDescent="0.3">
      <c r="A942">
        <v>10986</v>
      </c>
      <c r="B942" s="2">
        <v>45579</v>
      </c>
      <c r="C942" t="s">
        <v>37</v>
      </c>
      <c r="D942" t="s">
        <v>31</v>
      </c>
      <c r="E942" t="s">
        <v>14</v>
      </c>
      <c r="F942" t="s">
        <v>15</v>
      </c>
      <c r="G942" t="s">
        <v>16</v>
      </c>
      <c r="H942">
        <v>2</v>
      </c>
      <c r="I942" s="3">
        <v>42</v>
      </c>
      <c r="J942" s="3">
        <v>84</v>
      </c>
      <c r="K942" t="s">
        <v>25</v>
      </c>
      <c r="L942" t="s">
        <v>33</v>
      </c>
    </row>
    <row r="943" spans="1:12" x14ac:dyDescent="0.3">
      <c r="A943">
        <v>11167</v>
      </c>
      <c r="B943" s="2">
        <v>45579</v>
      </c>
      <c r="C943" t="s">
        <v>21</v>
      </c>
      <c r="D943" t="s">
        <v>13</v>
      </c>
      <c r="E943" t="s">
        <v>14</v>
      </c>
      <c r="F943" t="s">
        <v>15</v>
      </c>
      <c r="G943" t="s">
        <v>16</v>
      </c>
      <c r="H943">
        <v>5</v>
      </c>
      <c r="I943" s="3">
        <v>56</v>
      </c>
      <c r="J943" s="3">
        <v>280</v>
      </c>
      <c r="K943" t="s">
        <v>32</v>
      </c>
      <c r="L943" t="s">
        <v>33</v>
      </c>
    </row>
    <row r="944" spans="1:12" x14ac:dyDescent="0.3">
      <c r="A944">
        <v>10787</v>
      </c>
      <c r="B944" s="2">
        <v>45580</v>
      </c>
      <c r="C944" t="s">
        <v>12</v>
      </c>
      <c r="D944" t="s">
        <v>22</v>
      </c>
      <c r="E944" t="s">
        <v>14</v>
      </c>
      <c r="F944" t="s">
        <v>28</v>
      </c>
      <c r="G944" t="s">
        <v>36</v>
      </c>
      <c r="H944">
        <v>5</v>
      </c>
      <c r="I944" s="3">
        <v>89</v>
      </c>
      <c r="J944" s="3">
        <v>445</v>
      </c>
      <c r="K944" t="s">
        <v>17</v>
      </c>
      <c r="L944" t="s">
        <v>20</v>
      </c>
    </row>
    <row r="945" spans="1:12" x14ac:dyDescent="0.3">
      <c r="A945">
        <v>11174</v>
      </c>
      <c r="B945" s="2">
        <v>45580</v>
      </c>
      <c r="C945" t="s">
        <v>21</v>
      </c>
      <c r="D945" t="s">
        <v>31</v>
      </c>
      <c r="E945" t="s">
        <v>23</v>
      </c>
      <c r="F945" t="s">
        <v>28</v>
      </c>
      <c r="G945" t="s">
        <v>29</v>
      </c>
      <c r="H945">
        <v>4</v>
      </c>
      <c r="I945" s="3">
        <v>50</v>
      </c>
      <c r="J945" s="3">
        <v>200</v>
      </c>
      <c r="K945" t="s">
        <v>25</v>
      </c>
      <c r="L945" t="s">
        <v>27</v>
      </c>
    </row>
    <row r="946" spans="1:12" x14ac:dyDescent="0.3">
      <c r="A946">
        <v>10065</v>
      </c>
      <c r="B946" s="2">
        <v>45581</v>
      </c>
      <c r="C946" t="s">
        <v>40</v>
      </c>
      <c r="D946" t="s">
        <v>26</v>
      </c>
      <c r="E946" t="s">
        <v>23</v>
      </c>
      <c r="F946" t="s">
        <v>28</v>
      </c>
      <c r="G946" t="s">
        <v>36</v>
      </c>
      <c r="H946">
        <v>3</v>
      </c>
      <c r="I946" s="3">
        <v>50</v>
      </c>
      <c r="J946" s="3">
        <v>150</v>
      </c>
      <c r="K946" t="s">
        <v>35</v>
      </c>
      <c r="L946" t="s">
        <v>18</v>
      </c>
    </row>
    <row r="947" spans="1:12" x14ac:dyDescent="0.3">
      <c r="A947">
        <v>10108</v>
      </c>
      <c r="B947" s="2">
        <v>45581</v>
      </c>
      <c r="C947" t="s">
        <v>40</v>
      </c>
      <c r="D947" t="s">
        <v>22</v>
      </c>
      <c r="E947" t="s">
        <v>23</v>
      </c>
      <c r="F947" t="s">
        <v>15</v>
      </c>
      <c r="G947" t="s">
        <v>19</v>
      </c>
      <c r="H947">
        <v>3</v>
      </c>
      <c r="I947" s="3">
        <v>22</v>
      </c>
      <c r="J947" s="3">
        <v>66</v>
      </c>
      <c r="K947" t="s">
        <v>35</v>
      </c>
      <c r="L947" t="s">
        <v>20</v>
      </c>
    </row>
    <row r="948" spans="1:12" x14ac:dyDescent="0.3">
      <c r="A948">
        <v>10120</v>
      </c>
      <c r="B948" s="2">
        <v>45581</v>
      </c>
      <c r="C948" t="s">
        <v>12</v>
      </c>
      <c r="D948" t="s">
        <v>31</v>
      </c>
      <c r="E948" t="s">
        <v>14</v>
      </c>
      <c r="F948" t="s">
        <v>28</v>
      </c>
      <c r="G948" t="s">
        <v>29</v>
      </c>
      <c r="H948">
        <v>2</v>
      </c>
      <c r="I948" s="3">
        <v>52</v>
      </c>
      <c r="J948" s="3">
        <v>104</v>
      </c>
      <c r="K948" t="s">
        <v>17</v>
      </c>
      <c r="L948" t="s">
        <v>20</v>
      </c>
    </row>
    <row r="949" spans="1:12" x14ac:dyDescent="0.3">
      <c r="A949">
        <v>10009</v>
      </c>
      <c r="B949" s="2">
        <v>45582</v>
      </c>
      <c r="C949" t="s">
        <v>37</v>
      </c>
      <c r="D949" t="s">
        <v>13</v>
      </c>
      <c r="E949" t="s">
        <v>23</v>
      </c>
      <c r="F949" t="s">
        <v>38</v>
      </c>
      <c r="G949" t="s">
        <v>39</v>
      </c>
      <c r="H949">
        <v>1</v>
      </c>
      <c r="I949" s="3">
        <v>74</v>
      </c>
      <c r="J949" s="3">
        <v>74</v>
      </c>
      <c r="K949" t="s">
        <v>30</v>
      </c>
      <c r="L949" t="s">
        <v>27</v>
      </c>
    </row>
    <row r="950" spans="1:12" x14ac:dyDescent="0.3">
      <c r="A950">
        <v>10016</v>
      </c>
      <c r="B950" s="2">
        <v>45582</v>
      </c>
      <c r="C950" t="s">
        <v>40</v>
      </c>
      <c r="D950" t="s">
        <v>31</v>
      </c>
      <c r="E950" t="s">
        <v>23</v>
      </c>
      <c r="F950" t="s">
        <v>38</v>
      </c>
      <c r="G950" t="s">
        <v>41</v>
      </c>
      <c r="H950">
        <v>1</v>
      </c>
      <c r="I950" s="3">
        <v>81</v>
      </c>
      <c r="J950" s="3">
        <v>81</v>
      </c>
      <c r="K950" t="s">
        <v>25</v>
      </c>
      <c r="L950" t="s">
        <v>20</v>
      </c>
    </row>
    <row r="951" spans="1:12" x14ac:dyDescent="0.3">
      <c r="A951">
        <v>10852</v>
      </c>
      <c r="B951" s="2">
        <v>45582</v>
      </c>
      <c r="C951" t="s">
        <v>21</v>
      </c>
      <c r="D951" t="s">
        <v>42</v>
      </c>
      <c r="E951" t="s">
        <v>14</v>
      </c>
      <c r="F951" t="s">
        <v>28</v>
      </c>
      <c r="G951" t="s">
        <v>36</v>
      </c>
      <c r="H951">
        <v>2</v>
      </c>
      <c r="I951" s="3">
        <v>97</v>
      </c>
      <c r="J951" s="3">
        <v>194</v>
      </c>
      <c r="K951" t="s">
        <v>17</v>
      </c>
      <c r="L951" t="s">
        <v>20</v>
      </c>
    </row>
    <row r="952" spans="1:12" x14ac:dyDescent="0.3">
      <c r="A952">
        <v>10740</v>
      </c>
      <c r="B952" s="2">
        <v>45583</v>
      </c>
      <c r="C952" t="s">
        <v>21</v>
      </c>
      <c r="D952" t="s">
        <v>22</v>
      </c>
      <c r="E952" t="s">
        <v>23</v>
      </c>
      <c r="F952" t="s">
        <v>15</v>
      </c>
      <c r="G952" t="s">
        <v>19</v>
      </c>
      <c r="H952">
        <v>4</v>
      </c>
      <c r="I952" s="3">
        <v>48</v>
      </c>
      <c r="J952" s="3">
        <v>192</v>
      </c>
      <c r="K952" t="s">
        <v>30</v>
      </c>
      <c r="L952" t="s">
        <v>20</v>
      </c>
    </row>
    <row r="953" spans="1:12" x14ac:dyDescent="0.3">
      <c r="A953">
        <v>10906</v>
      </c>
      <c r="B953" s="2">
        <v>45583</v>
      </c>
      <c r="C953" t="s">
        <v>21</v>
      </c>
      <c r="D953" t="s">
        <v>26</v>
      </c>
      <c r="E953" t="s">
        <v>14</v>
      </c>
      <c r="F953" t="s">
        <v>28</v>
      </c>
      <c r="G953" t="s">
        <v>29</v>
      </c>
      <c r="H953">
        <v>1</v>
      </c>
      <c r="I953" s="3">
        <v>104</v>
      </c>
      <c r="J953" s="3">
        <v>104</v>
      </c>
      <c r="K953" t="s">
        <v>32</v>
      </c>
      <c r="L953" t="s">
        <v>18</v>
      </c>
    </row>
    <row r="954" spans="1:12" x14ac:dyDescent="0.3">
      <c r="A954">
        <v>10912</v>
      </c>
      <c r="B954" s="2">
        <v>45583</v>
      </c>
      <c r="C954" t="s">
        <v>21</v>
      </c>
      <c r="D954" t="s">
        <v>42</v>
      </c>
      <c r="E954" t="s">
        <v>23</v>
      </c>
      <c r="F954" t="s">
        <v>38</v>
      </c>
      <c r="G954" t="s">
        <v>43</v>
      </c>
      <c r="H954">
        <v>2</v>
      </c>
      <c r="I954" s="3">
        <v>104</v>
      </c>
      <c r="J954" s="3">
        <v>208</v>
      </c>
      <c r="K954" t="s">
        <v>17</v>
      </c>
      <c r="L954" t="s">
        <v>18</v>
      </c>
    </row>
    <row r="955" spans="1:12" x14ac:dyDescent="0.3">
      <c r="A955">
        <v>10363</v>
      </c>
      <c r="B955" s="2">
        <v>45584</v>
      </c>
      <c r="C955" t="s">
        <v>21</v>
      </c>
      <c r="D955" t="s">
        <v>13</v>
      </c>
      <c r="E955" t="s">
        <v>14</v>
      </c>
      <c r="F955" t="s">
        <v>28</v>
      </c>
      <c r="G955" t="s">
        <v>34</v>
      </c>
      <c r="H955">
        <v>1</v>
      </c>
      <c r="I955" s="3">
        <v>120</v>
      </c>
      <c r="J955" s="3">
        <v>120</v>
      </c>
      <c r="K955" t="s">
        <v>35</v>
      </c>
      <c r="L955" t="s">
        <v>18</v>
      </c>
    </row>
    <row r="956" spans="1:12" x14ac:dyDescent="0.3">
      <c r="A956">
        <v>10601</v>
      </c>
      <c r="B956" s="2">
        <v>45584</v>
      </c>
      <c r="C956" t="s">
        <v>21</v>
      </c>
      <c r="D956" t="s">
        <v>13</v>
      </c>
      <c r="E956" t="s">
        <v>14</v>
      </c>
      <c r="F956" t="s">
        <v>28</v>
      </c>
      <c r="G956" t="s">
        <v>29</v>
      </c>
      <c r="H956">
        <v>4</v>
      </c>
      <c r="I956" s="3">
        <v>62</v>
      </c>
      <c r="J956" s="3">
        <v>248</v>
      </c>
      <c r="K956" t="s">
        <v>35</v>
      </c>
      <c r="L956" t="s">
        <v>33</v>
      </c>
    </row>
    <row r="957" spans="1:12" x14ac:dyDescent="0.3">
      <c r="A957">
        <v>10894</v>
      </c>
      <c r="B957" s="2">
        <v>45584</v>
      </c>
      <c r="C957" t="s">
        <v>12</v>
      </c>
      <c r="D957" t="s">
        <v>26</v>
      </c>
      <c r="E957" t="s">
        <v>23</v>
      </c>
      <c r="F957" t="s">
        <v>28</v>
      </c>
      <c r="G957" t="s">
        <v>29</v>
      </c>
      <c r="H957">
        <v>4</v>
      </c>
      <c r="I957" s="3">
        <v>116</v>
      </c>
      <c r="J957" s="3">
        <v>464</v>
      </c>
      <c r="K957" t="s">
        <v>17</v>
      </c>
      <c r="L957" t="s">
        <v>18</v>
      </c>
    </row>
    <row r="958" spans="1:12" x14ac:dyDescent="0.3">
      <c r="A958">
        <v>10983</v>
      </c>
      <c r="B958" s="2">
        <v>45584</v>
      </c>
      <c r="C958" t="s">
        <v>12</v>
      </c>
      <c r="D958" t="s">
        <v>31</v>
      </c>
      <c r="E958" t="s">
        <v>23</v>
      </c>
      <c r="F958" t="s">
        <v>38</v>
      </c>
      <c r="G958" t="s">
        <v>39</v>
      </c>
      <c r="H958">
        <v>4</v>
      </c>
      <c r="I958" s="3">
        <v>96</v>
      </c>
      <c r="J958" s="3">
        <v>384</v>
      </c>
      <c r="K958" t="s">
        <v>25</v>
      </c>
      <c r="L958" t="s">
        <v>20</v>
      </c>
    </row>
    <row r="959" spans="1:12" x14ac:dyDescent="0.3">
      <c r="A959">
        <v>10228</v>
      </c>
      <c r="B959" s="2">
        <v>45585</v>
      </c>
      <c r="C959" t="s">
        <v>12</v>
      </c>
      <c r="D959" t="s">
        <v>13</v>
      </c>
      <c r="E959" t="s">
        <v>23</v>
      </c>
      <c r="F959" t="s">
        <v>28</v>
      </c>
      <c r="G959" t="s">
        <v>36</v>
      </c>
      <c r="H959">
        <v>5</v>
      </c>
      <c r="I959" s="3">
        <v>71</v>
      </c>
      <c r="J959" s="3">
        <v>355</v>
      </c>
      <c r="K959" t="s">
        <v>17</v>
      </c>
      <c r="L959" t="s">
        <v>27</v>
      </c>
    </row>
    <row r="960" spans="1:12" x14ac:dyDescent="0.3">
      <c r="A960">
        <v>10468</v>
      </c>
      <c r="B960" s="2">
        <v>45585</v>
      </c>
      <c r="C960" t="s">
        <v>12</v>
      </c>
      <c r="D960" t="s">
        <v>31</v>
      </c>
      <c r="E960" t="s">
        <v>14</v>
      </c>
      <c r="F960" t="s">
        <v>28</v>
      </c>
      <c r="G960" t="s">
        <v>36</v>
      </c>
      <c r="H960">
        <v>5</v>
      </c>
      <c r="I960" s="3">
        <v>30</v>
      </c>
      <c r="J960" s="3">
        <v>150</v>
      </c>
      <c r="K960" t="s">
        <v>35</v>
      </c>
      <c r="L960" t="s">
        <v>20</v>
      </c>
    </row>
    <row r="961" spans="1:12" x14ac:dyDescent="0.3">
      <c r="A961">
        <v>10876</v>
      </c>
      <c r="B961" s="2">
        <v>45585</v>
      </c>
      <c r="C961" t="s">
        <v>12</v>
      </c>
      <c r="D961" t="s">
        <v>22</v>
      </c>
      <c r="E961" t="s">
        <v>23</v>
      </c>
      <c r="F961" t="s">
        <v>28</v>
      </c>
      <c r="G961" t="s">
        <v>36</v>
      </c>
      <c r="H961">
        <v>1</v>
      </c>
      <c r="I961" s="3">
        <v>69</v>
      </c>
      <c r="J961" s="3">
        <v>69</v>
      </c>
      <c r="K961" t="s">
        <v>35</v>
      </c>
      <c r="L961" t="s">
        <v>27</v>
      </c>
    </row>
    <row r="962" spans="1:12" x14ac:dyDescent="0.3">
      <c r="A962">
        <v>10064</v>
      </c>
      <c r="B962" s="2">
        <v>45586</v>
      </c>
      <c r="C962" t="s">
        <v>21</v>
      </c>
      <c r="D962" t="s">
        <v>42</v>
      </c>
      <c r="E962" t="s">
        <v>14</v>
      </c>
      <c r="F962" t="s">
        <v>28</v>
      </c>
      <c r="G962" t="s">
        <v>36</v>
      </c>
      <c r="H962">
        <v>1</v>
      </c>
      <c r="I962" s="3">
        <v>99</v>
      </c>
      <c r="J962" s="3">
        <v>99</v>
      </c>
      <c r="K962" t="s">
        <v>25</v>
      </c>
      <c r="L962" t="s">
        <v>20</v>
      </c>
    </row>
    <row r="963" spans="1:12" x14ac:dyDescent="0.3">
      <c r="A963">
        <v>10444</v>
      </c>
      <c r="B963" s="2">
        <v>45586</v>
      </c>
      <c r="C963" t="s">
        <v>12</v>
      </c>
      <c r="D963" t="s">
        <v>26</v>
      </c>
      <c r="E963" t="s">
        <v>23</v>
      </c>
      <c r="F963" t="s">
        <v>28</v>
      </c>
      <c r="G963" t="s">
        <v>29</v>
      </c>
      <c r="H963">
        <v>5</v>
      </c>
      <c r="I963" s="3">
        <v>38</v>
      </c>
      <c r="J963" s="3">
        <v>190</v>
      </c>
      <c r="K963" t="s">
        <v>30</v>
      </c>
      <c r="L963" t="s">
        <v>27</v>
      </c>
    </row>
    <row r="964" spans="1:12" x14ac:dyDescent="0.3">
      <c r="A964">
        <v>10652</v>
      </c>
      <c r="B964" s="2">
        <v>45586</v>
      </c>
      <c r="C964" t="s">
        <v>40</v>
      </c>
      <c r="D964" t="s">
        <v>22</v>
      </c>
      <c r="E964" t="s">
        <v>23</v>
      </c>
      <c r="F964" t="s">
        <v>38</v>
      </c>
      <c r="G964" t="s">
        <v>41</v>
      </c>
      <c r="H964">
        <v>3</v>
      </c>
      <c r="I964" s="3">
        <v>120</v>
      </c>
      <c r="J964" s="3">
        <v>360</v>
      </c>
      <c r="K964" t="s">
        <v>30</v>
      </c>
      <c r="L964" t="s">
        <v>27</v>
      </c>
    </row>
    <row r="965" spans="1:12" x14ac:dyDescent="0.3">
      <c r="A965">
        <v>10005</v>
      </c>
      <c r="B965" s="2">
        <v>45587</v>
      </c>
      <c r="C965" t="s">
        <v>12</v>
      </c>
      <c r="D965" t="s">
        <v>31</v>
      </c>
      <c r="E965" t="s">
        <v>14</v>
      </c>
      <c r="F965" t="s">
        <v>15</v>
      </c>
      <c r="G965" t="s">
        <v>19</v>
      </c>
      <c r="H965">
        <v>5</v>
      </c>
      <c r="I965" s="3">
        <v>112</v>
      </c>
      <c r="J965" s="3">
        <v>560</v>
      </c>
      <c r="K965" t="s">
        <v>32</v>
      </c>
      <c r="L965" t="s">
        <v>33</v>
      </c>
    </row>
    <row r="966" spans="1:12" x14ac:dyDescent="0.3">
      <c r="A966">
        <v>10238</v>
      </c>
      <c r="B966" s="2">
        <v>45587</v>
      </c>
      <c r="C966" t="s">
        <v>37</v>
      </c>
      <c r="D966" t="s">
        <v>13</v>
      </c>
      <c r="E966" t="s">
        <v>23</v>
      </c>
      <c r="F966" t="s">
        <v>15</v>
      </c>
      <c r="G966" t="s">
        <v>19</v>
      </c>
      <c r="H966">
        <v>2</v>
      </c>
      <c r="I966" s="3">
        <v>101</v>
      </c>
      <c r="J966" s="3">
        <v>202</v>
      </c>
      <c r="K966" t="s">
        <v>32</v>
      </c>
      <c r="L966" t="s">
        <v>20</v>
      </c>
    </row>
    <row r="967" spans="1:12" x14ac:dyDescent="0.3">
      <c r="A967">
        <v>10550</v>
      </c>
      <c r="B967" s="2">
        <v>45587</v>
      </c>
      <c r="C967" t="s">
        <v>21</v>
      </c>
      <c r="D967" t="s">
        <v>31</v>
      </c>
      <c r="E967" t="s">
        <v>14</v>
      </c>
      <c r="F967" t="s">
        <v>15</v>
      </c>
      <c r="G967" t="s">
        <v>24</v>
      </c>
      <c r="H967">
        <v>3</v>
      </c>
      <c r="I967" s="3">
        <v>29</v>
      </c>
      <c r="J967" s="3">
        <v>87</v>
      </c>
      <c r="K967" t="s">
        <v>35</v>
      </c>
      <c r="L967" t="s">
        <v>33</v>
      </c>
    </row>
    <row r="968" spans="1:12" x14ac:dyDescent="0.3">
      <c r="A968">
        <v>10600</v>
      </c>
      <c r="B968" s="2">
        <v>45587</v>
      </c>
      <c r="C968" t="s">
        <v>37</v>
      </c>
      <c r="D968" t="s">
        <v>26</v>
      </c>
      <c r="E968" t="s">
        <v>14</v>
      </c>
      <c r="F968" t="s">
        <v>15</v>
      </c>
      <c r="G968" t="s">
        <v>24</v>
      </c>
      <c r="H968">
        <v>1</v>
      </c>
      <c r="I968" s="3">
        <v>73</v>
      </c>
      <c r="J968" s="3">
        <v>73</v>
      </c>
      <c r="K968" t="s">
        <v>32</v>
      </c>
      <c r="L968" t="s">
        <v>33</v>
      </c>
    </row>
    <row r="969" spans="1:12" x14ac:dyDescent="0.3">
      <c r="A969">
        <v>10988</v>
      </c>
      <c r="B969" s="2">
        <v>45587</v>
      </c>
      <c r="C969" t="s">
        <v>21</v>
      </c>
      <c r="D969" t="s">
        <v>26</v>
      </c>
      <c r="E969" t="s">
        <v>23</v>
      </c>
      <c r="F969" t="s">
        <v>15</v>
      </c>
      <c r="G969" t="s">
        <v>24</v>
      </c>
      <c r="H969">
        <v>4</v>
      </c>
      <c r="I969" s="3">
        <v>55</v>
      </c>
      <c r="J969" s="3">
        <v>220</v>
      </c>
      <c r="K969" t="s">
        <v>17</v>
      </c>
      <c r="L969" t="s">
        <v>20</v>
      </c>
    </row>
    <row r="970" spans="1:12" x14ac:dyDescent="0.3">
      <c r="A970">
        <v>11052</v>
      </c>
      <c r="B970" s="2">
        <v>45587</v>
      </c>
      <c r="C970" t="s">
        <v>21</v>
      </c>
      <c r="D970" t="s">
        <v>26</v>
      </c>
      <c r="E970" t="s">
        <v>14</v>
      </c>
      <c r="F970" t="s">
        <v>15</v>
      </c>
      <c r="G970" t="s">
        <v>19</v>
      </c>
      <c r="H970">
        <v>1</v>
      </c>
      <c r="I970" s="3">
        <v>48</v>
      </c>
      <c r="J970" s="3">
        <v>48</v>
      </c>
      <c r="K970" t="s">
        <v>25</v>
      </c>
      <c r="L970" t="s">
        <v>33</v>
      </c>
    </row>
    <row r="971" spans="1:12" x14ac:dyDescent="0.3">
      <c r="A971">
        <v>10724</v>
      </c>
      <c r="B971" s="2">
        <v>45588</v>
      </c>
      <c r="C971" t="s">
        <v>37</v>
      </c>
      <c r="D971" t="s">
        <v>26</v>
      </c>
      <c r="E971" t="s">
        <v>14</v>
      </c>
      <c r="F971" t="s">
        <v>28</v>
      </c>
      <c r="G971" t="s">
        <v>34</v>
      </c>
      <c r="H971">
        <v>2</v>
      </c>
      <c r="I971" s="3">
        <v>91</v>
      </c>
      <c r="J971" s="3">
        <v>182</v>
      </c>
      <c r="K971" t="s">
        <v>17</v>
      </c>
      <c r="L971" t="s">
        <v>20</v>
      </c>
    </row>
    <row r="972" spans="1:12" x14ac:dyDescent="0.3">
      <c r="A972">
        <v>10725</v>
      </c>
      <c r="B972" s="2">
        <v>45588</v>
      </c>
      <c r="C972" t="s">
        <v>40</v>
      </c>
      <c r="D972" t="s">
        <v>22</v>
      </c>
      <c r="E972" t="s">
        <v>14</v>
      </c>
      <c r="F972" t="s">
        <v>15</v>
      </c>
      <c r="G972" t="s">
        <v>24</v>
      </c>
      <c r="H972">
        <v>1</v>
      </c>
      <c r="I972" s="3">
        <v>45</v>
      </c>
      <c r="J972" s="3">
        <v>45</v>
      </c>
      <c r="K972" t="s">
        <v>32</v>
      </c>
      <c r="L972" t="s">
        <v>33</v>
      </c>
    </row>
    <row r="973" spans="1:12" x14ac:dyDescent="0.3">
      <c r="A973">
        <v>10332</v>
      </c>
      <c r="B973" s="2">
        <v>45589</v>
      </c>
      <c r="C973" t="s">
        <v>40</v>
      </c>
      <c r="D973" t="s">
        <v>22</v>
      </c>
      <c r="E973" t="s">
        <v>14</v>
      </c>
      <c r="F973" t="s">
        <v>15</v>
      </c>
      <c r="G973" t="s">
        <v>19</v>
      </c>
      <c r="H973">
        <v>4</v>
      </c>
      <c r="I973" s="3">
        <v>41</v>
      </c>
      <c r="J973" s="3">
        <v>164</v>
      </c>
      <c r="K973" t="s">
        <v>30</v>
      </c>
      <c r="L973" t="s">
        <v>18</v>
      </c>
    </row>
    <row r="974" spans="1:12" x14ac:dyDescent="0.3">
      <c r="A974">
        <v>10712</v>
      </c>
      <c r="B974" s="2">
        <v>45589</v>
      </c>
      <c r="C974" t="s">
        <v>21</v>
      </c>
      <c r="D974" t="s">
        <v>22</v>
      </c>
      <c r="E974" t="s">
        <v>23</v>
      </c>
      <c r="F974" t="s">
        <v>38</v>
      </c>
      <c r="G974" t="s">
        <v>41</v>
      </c>
      <c r="H974">
        <v>5</v>
      </c>
      <c r="I974" s="3">
        <v>112</v>
      </c>
      <c r="J974" s="3">
        <v>560</v>
      </c>
      <c r="K974" t="s">
        <v>35</v>
      </c>
      <c r="L974" t="s">
        <v>27</v>
      </c>
    </row>
    <row r="975" spans="1:12" x14ac:dyDescent="0.3">
      <c r="A975">
        <v>10733</v>
      </c>
      <c r="B975" s="2">
        <v>45589</v>
      </c>
      <c r="C975" t="s">
        <v>37</v>
      </c>
      <c r="D975" t="s">
        <v>42</v>
      </c>
      <c r="E975" t="s">
        <v>23</v>
      </c>
      <c r="F975" t="s">
        <v>38</v>
      </c>
      <c r="G975" t="s">
        <v>43</v>
      </c>
      <c r="H975">
        <v>4</v>
      </c>
      <c r="I975" s="3">
        <v>91</v>
      </c>
      <c r="J975" s="3">
        <v>364</v>
      </c>
      <c r="K975" t="s">
        <v>30</v>
      </c>
      <c r="L975" t="s">
        <v>27</v>
      </c>
    </row>
    <row r="976" spans="1:12" x14ac:dyDescent="0.3">
      <c r="A976">
        <v>10207</v>
      </c>
      <c r="B976" s="2">
        <v>45590</v>
      </c>
      <c r="C976" t="s">
        <v>37</v>
      </c>
      <c r="D976" t="s">
        <v>31</v>
      </c>
      <c r="E976" t="s">
        <v>23</v>
      </c>
      <c r="F976" t="s">
        <v>38</v>
      </c>
      <c r="G976" t="s">
        <v>39</v>
      </c>
      <c r="H976">
        <v>1</v>
      </c>
      <c r="I976" s="3">
        <v>126</v>
      </c>
      <c r="J976" s="3">
        <v>126</v>
      </c>
      <c r="K976" t="s">
        <v>35</v>
      </c>
      <c r="L976" t="s">
        <v>20</v>
      </c>
    </row>
    <row r="977" spans="1:12" x14ac:dyDescent="0.3">
      <c r="A977">
        <v>10275</v>
      </c>
      <c r="B977" s="2">
        <v>45590</v>
      </c>
      <c r="C977" t="s">
        <v>21</v>
      </c>
      <c r="D977" t="s">
        <v>22</v>
      </c>
      <c r="E977" t="s">
        <v>23</v>
      </c>
      <c r="F977" t="s">
        <v>38</v>
      </c>
      <c r="G977" t="s">
        <v>41</v>
      </c>
      <c r="H977">
        <v>4</v>
      </c>
      <c r="I977" s="3">
        <v>142</v>
      </c>
      <c r="J977" s="3">
        <v>568</v>
      </c>
      <c r="K977" t="s">
        <v>17</v>
      </c>
      <c r="L977" t="s">
        <v>18</v>
      </c>
    </row>
    <row r="978" spans="1:12" x14ac:dyDescent="0.3">
      <c r="A978">
        <v>10548</v>
      </c>
      <c r="B978" s="2">
        <v>45590</v>
      </c>
      <c r="C978" t="s">
        <v>12</v>
      </c>
      <c r="D978" t="s">
        <v>13</v>
      </c>
      <c r="E978" t="s">
        <v>23</v>
      </c>
      <c r="F978" t="s">
        <v>28</v>
      </c>
      <c r="G978" t="s">
        <v>34</v>
      </c>
      <c r="H978">
        <v>3</v>
      </c>
      <c r="I978" s="3">
        <v>113</v>
      </c>
      <c r="J978" s="3">
        <v>339</v>
      </c>
      <c r="K978" t="s">
        <v>35</v>
      </c>
      <c r="L978" t="s">
        <v>18</v>
      </c>
    </row>
    <row r="979" spans="1:12" x14ac:dyDescent="0.3">
      <c r="A979">
        <v>10385</v>
      </c>
      <c r="B979" s="2">
        <v>45591</v>
      </c>
      <c r="C979" t="s">
        <v>40</v>
      </c>
      <c r="D979" t="s">
        <v>31</v>
      </c>
      <c r="E979" t="s">
        <v>23</v>
      </c>
      <c r="F979" t="s">
        <v>38</v>
      </c>
      <c r="G979" t="s">
        <v>43</v>
      </c>
      <c r="H979">
        <v>5</v>
      </c>
      <c r="I979" s="3">
        <v>121</v>
      </c>
      <c r="J979" s="3">
        <v>605</v>
      </c>
      <c r="K979" t="s">
        <v>17</v>
      </c>
      <c r="L979" t="s">
        <v>33</v>
      </c>
    </row>
    <row r="980" spans="1:12" x14ac:dyDescent="0.3">
      <c r="A980">
        <v>10528</v>
      </c>
      <c r="B980" s="2">
        <v>45591</v>
      </c>
      <c r="C980" t="s">
        <v>40</v>
      </c>
      <c r="D980" t="s">
        <v>42</v>
      </c>
      <c r="E980" t="s">
        <v>14</v>
      </c>
      <c r="F980" t="s">
        <v>38</v>
      </c>
      <c r="G980" t="s">
        <v>41</v>
      </c>
      <c r="H980">
        <v>2</v>
      </c>
      <c r="I980" s="3">
        <v>90</v>
      </c>
      <c r="J980" s="3">
        <v>180</v>
      </c>
      <c r="K980" t="s">
        <v>25</v>
      </c>
      <c r="L980" t="s">
        <v>18</v>
      </c>
    </row>
    <row r="981" spans="1:12" x14ac:dyDescent="0.3">
      <c r="A981">
        <v>10855</v>
      </c>
      <c r="B981" s="2">
        <v>45591</v>
      </c>
      <c r="C981" t="s">
        <v>37</v>
      </c>
      <c r="D981" t="s">
        <v>31</v>
      </c>
      <c r="E981" t="s">
        <v>14</v>
      </c>
      <c r="F981" t="s">
        <v>15</v>
      </c>
      <c r="G981" t="s">
        <v>19</v>
      </c>
      <c r="H981">
        <v>3</v>
      </c>
      <c r="I981" s="3">
        <v>74</v>
      </c>
      <c r="J981" s="3">
        <v>222</v>
      </c>
      <c r="K981" t="s">
        <v>17</v>
      </c>
      <c r="L981" t="s">
        <v>18</v>
      </c>
    </row>
    <row r="982" spans="1:12" x14ac:dyDescent="0.3">
      <c r="A982">
        <v>11130</v>
      </c>
      <c r="B982" s="2">
        <v>45591</v>
      </c>
      <c r="C982" t="s">
        <v>21</v>
      </c>
      <c r="D982" t="s">
        <v>42</v>
      </c>
      <c r="E982" t="s">
        <v>14</v>
      </c>
      <c r="F982" t="s">
        <v>28</v>
      </c>
      <c r="G982" t="s">
        <v>34</v>
      </c>
      <c r="H982">
        <v>3</v>
      </c>
      <c r="I982" s="3">
        <v>57</v>
      </c>
      <c r="J982" s="3">
        <v>171</v>
      </c>
      <c r="K982" t="s">
        <v>17</v>
      </c>
      <c r="L982" t="s">
        <v>20</v>
      </c>
    </row>
    <row r="983" spans="1:12" x14ac:dyDescent="0.3">
      <c r="A983">
        <v>10286</v>
      </c>
      <c r="B983" s="2">
        <v>45592</v>
      </c>
      <c r="C983" t="s">
        <v>40</v>
      </c>
      <c r="D983" t="s">
        <v>26</v>
      </c>
      <c r="E983" t="s">
        <v>23</v>
      </c>
      <c r="F983" t="s">
        <v>15</v>
      </c>
      <c r="G983" t="s">
        <v>19</v>
      </c>
      <c r="H983">
        <v>5</v>
      </c>
      <c r="I983" s="3">
        <v>120</v>
      </c>
      <c r="J983" s="3">
        <v>600</v>
      </c>
      <c r="K983" t="s">
        <v>30</v>
      </c>
      <c r="L983" t="s">
        <v>20</v>
      </c>
    </row>
    <row r="984" spans="1:12" x14ac:dyDescent="0.3">
      <c r="A984">
        <v>10318</v>
      </c>
      <c r="B984" s="2">
        <v>45592</v>
      </c>
      <c r="C984" t="s">
        <v>40</v>
      </c>
      <c r="D984" t="s">
        <v>26</v>
      </c>
      <c r="E984" t="s">
        <v>23</v>
      </c>
      <c r="F984" t="s">
        <v>28</v>
      </c>
      <c r="G984" t="s">
        <v>36</v>
      </c>
      <c r="H984">
        <v>3</v>
      </c>
      <c r="I984" s="3">
        <v>120</v>
      </c>
      <c r="J984" s="3">
        <v>360</v>
      </c>
      <c r="K984" t="s">
        <v>32</v>
      </c>
      <c r="L984" t="s">
        <v>18</v>
      </c>
    </row>
    <row r="985" spans="1:12" x14ac:dyDescent="0.3">
      <c r="A985">
        <v>10463</v>
      </c>
      <c r="B985" s="2">
        <v>45592</v>
      </c>
      <c r="C985" t="s">
        <v>40</v>
      </c>
      <c r="D985" t="s">
        <v>22</v>
      </c>
      <c r="E985" t="s">
        <v>23</v>
      </c>
      <c r="F985" t="s">
        <v>38</v>
      </c>
      <c r="G985" t="s">
        <v>43</v>
      </c>
      <c r="H985">
        <v>4</v>
      </c>
      <c r="I985" s="3">
        <v>113</v>
      </c>
      <c r="J985" s="3">
        <v>452</v>
      </c>
      <c r="K985" t="s">
        <v>30</v>
      </c>
      <c r="L985" t="s">
        <v>20</v>
      </c>
    </row>
    <row r="986" spans="1:12" x14ac:dyDescent="0.3">
      <c r="A986">
        <v>10949</v>
      </c>
      <c r="B986" s="2">
        <v>45592</v>
      </c>
      <c r="C986" t="s">
        <v>37</v>
      </c>
      <c r="D986" t="s">
        <v>42</v>
      </c>
      <c r="E986" t="s">
        <v>14</v>
      </c>
      <c r="F986" t="s">
        <v>15</v>
      </c>
      <c r="G986" t="s">
        <v>19</v>
      </c>
      <c r="H986">
        <v>5</v>
      </c>
      <c r="I986" s="3">
        <v>117</v>
      </c>
      <c r="J986" s="3">
        <v>585</v>
      </c>
      <c r="K986" t="s">
        <v>25</v>
      </c>
      <c r="L986" t="s">
        <v>33</v>
      </c>
    </row>
    <row r="987" spans="1:12" x14ac:dyDescent="0.3">
      <c r="A987">
        <v>11071</v>
      </c>
      <c r="B987" s="2">
        <v>45592</v>
      </c>
      <c r="C987" t="s">
        <v>40</v>
      </c>
      <c r="D987" t="s">
        <v>26</v>
      </c>
      <c r="E987" t="s">
        <v>14</v>
      </c>
      <c r="F987" t="s">
        <v>28</v>
      </c>
      <c r="G987" t="s">
        <v>36</v>
      </c>
      <c r="H987">
        <v>4</v>
      </c>
      <c r="I987" s="3">
        <v>142</v>
      </c>
      <c r="J987" s="3">
        <v>568</v>
      </c>
      <c r="K987" t="s">
        <v>32</v>
      </c>
      <c r="L987" t="s">
        <v>27</v>
      </c>
    </row>
    <row r="988" spans="1:12" x14ac:dyDescent="0.3">
      <c r="A988">
        <v>10019</v>
      </c>
      <c r="B988" s="2">
        <v>45593</v>
      </c>
      <c r="C988" t="s">
        <v>12</v>
      </c>
      <c r="D988" t="s">
        <v>31</v>
      </c>
      <c r="E988" t="s">
        <v>14</v>
      </c>
      <c r="F988" t="s">
        <v>38</v>
      </c>
      <c r="G988" t="s">
        <v>41</v>
      </c>
      <c r="H988">
        <v>5</v>
      </c>
      <c r="I988" s="3">
        <v>78</v>
      </c>
      <c r="J988" s="3">
        <v>390</v>
      </c>
      <c r="K988" t="s">
        <v>25</v>
      </c>
      <c r="L988" t="s">
        <v>20</v>
      </c>
    </row>
    <row r="989" spans="1:12" x14ac:dyDescent="0.3">
      <c r="A989">
        <v>10761</v>
      </c>
      <c r="B989" s="2">
        <v>45593</v>
      </c>
      <c r="C989" t="s">
        <v>40</v>
      </c>
      <c r="D989" t="s">
        <v>42</v>
      </c>
      <c r="E989" t="s">
        <v>23</v>
      </c>
      <c r="F989" t="s">
        <v>38</v>
      </c>
      <c r="G989" t="s">
        <v>39</v>
      </c>
      <c r="H989">
        <v>4</v>
      </c>
      <c r="I989" s="3">
        <v>85</v>
      </c>
      <c r="J989" s="3">
        <v>340</v>
      </c>
      <c r="K989" t="s">
        <v>25</v>
      </c>
      <c r="L989" t="s">
        <v>33</v>
      </c>
    </row>
    <row r="990" spans="1:12" x14ac:dyDescent="0.3">
      <c r="A990">
        <v>10148</v>
      </c>
      <c r="B990" s="2">
        <v>45594</v>
      </c>
      <c r="C990" t="s">
        <v>40</v>
      </c>
      <c r="D990" t="s">
        <v>26</v>
      </c>
      <c r="E990" t="s">
        <v>14</v>
      </c>
      <c r="F990" t="s">
        <v>38</v>
      </c>
      <c r="G990" t="s">
        <v>43</v>
      </c>
      <c r="H990">
        <v>3</v>
      </c>
      <c r="I990" s="3">
        <v>90</v>
      </c>
      <c r="J990" s="3">
        <v>270</v>
      </c>
      <c r="K990" t="s">
        <v>35</v>
      </c>
      <c r="L990" t="s">
        <v>27</v>
      </c>
    </row>
    <row r="991" spans="1:12" x14ac:dyDescent="0.3">
      <c r="A991">
        <v>10514</v>
      </c>
      <c r="B991" s="2">
        <v>45594</v>
      </c>
      <c r="C991" t="s">
        <v>21</v>
      </c>
      <c r="D991" t="s">
        <v>22</v>
      </c>
      <c r="E991" t="s">
        <v>23</v>
      </c>
      <c r="F991" t="s">
        <v>15</v>
      </c>
      <c r="G991" t="s">
        <v>19</v>
      </c>
      <c r="H991">
        <v>2</v>
      </c>
      <c r="I991" s="3">
        <v>65</v>
      </c>
      <c r="J991" s="3">
        <v>130</v>
      </c>
      <c r="K991" t="s">
        <v>17</v>
      </c>
      <c r="L991" t="s">
        <v>33</v>
      </c>
    </row>
    <row r="992" spans="1:12" x14ac:dyDescent="0.3">
      <c r="A992">
        <v>10636</v>
      </c>
      <c r="B992" s="2">
        <v>45594</v>
      </c>
      <c r="C992" t="s">
        <v>12</v>
      </c>
      <c r="D992" t="s">
        <v>42</v>
      </c>
      <c r="E992" t="s">
        <v>23</v>
      </c>
      <c r="F992" t="s">
        <v>28</v>
      </c>
      <c r="G992" t="s">
        <v>36</v>
      </c>
      <c r="H992">
        <v>1</v>
      </c>
      <c r="I992" s="3">
        <v>64</v>
      </c>
      <c r="J992" s="3">
        <v>64</v>
      </c>
      <c r="K992" t="s">
        <v>32</v>
      </c>
      <c r="L992" t="s">
        <v>33</v>
      </c>
    </row>
    <row r="993" spans="1:12" x14ac:dyDescent="0.3">
      <c r="A993">
        <v>10348</v>
      </c>
      <c r="B993" s="2">
        <v>45595</v>
      </c>
      <c r="C993" t="s">
        <v>37</v>
      </c>
      <c r="D993" t="s">
        <v>26</v>
      </c>
      <c r="E993" t="s">
        <v>14</v>
      </c>
      <c r="F993" t="s">
        <v>38</v>
      </c>
      <c r="G993" t="s">
        <v>41</v>
      </c>
      <c r="H993">
        <v>2</v>
      </c>
      <c r="I993" s="3">
        <v>80</v>
      </c>
      <c r="J993" s="3">
        <v>160</v>
      </c>
      <c r="K993" t="s">
        <v>35</v>
      </c>
      <c r="L993" t="s">
        <v>20</v>
      </c>
    </row>
    <row r="994" spans="1:12" x14ac:dyDescent="0.3">
      <c r="A994">
        <v>10749</v>
      </c>
      <c r="B994" s="2">
        <v>45595</v>
      </c>
      <c r="C994" t="s">
        <v>37</v>
      </c>
      <c r="D994" t="s">
        <v>26</v>
      </c>
      <c r="E994" t="s">
        <v>14</v>
      </c>
      <c r="F994" t="s">
        <v>28</v>
      </c>
      <c r="G994" t="s">
        <v>36</v>
      </c>
      <c r="H994">
        <v>1</v>
      </c>
      <c r="I994" s="3">
        <v>44</v>
      </c>
      <c r="J994" s="3">
        <v>44</v>
      </c>
      <c r="K994" t="s">
        <v>17</v>
      </c>
      <c r="L994" t="s">
        <v>27</v>
      </c>
    </row>
    <row r="995" spans="1:12" x14ac:dyDescent="0.3">
      <c r="A995">
        <v>10155</v>
      </c>
      <c r="B995" s="2">
        <v>45596</v>
      </c>
      <c r="C995" t="s">
        <v>40</v>
      </c>
      <c r="D995" t="s">
        <v>26</v>
      </c>
      <c r="E995" t="s">
        <v>23</v>
      </c>
      <c r="F995" t="s">
        <v>15</v>
      </c>
      <c r="G995" t="s">
        <v>24</v>
      </c>
      <c r="H995">
        <v>4</v>
      </c>
      <c r="I995" s="3">
        <v>53</v>
      </c>
      <c r="J995" s="3">
        <v>212</v>
      </c>
      <c r="K995" t="s">
        <v>35</v>
      </c>
      <c r="L995" t="s">
        <v>20</v>
      </c>
    </row>
    <row r="996" spans="1:12" x14ac:dyDescent="0.3">
      <c r="A996">
        <v>10401</v>
      </c>
      <c r="B996" s="2">
        <v>45596</v>
      </c>
      <c r="C996" t="s">
        <v>40</v>
      </c>
      <c r="D996" t="s">
        <v>31</v>
      </c>
      <c r="E996" t="s">
        <v>14</v>
      </c>
      <c r="F996" t="s">
        <v>15</v>
      </c>
      <c r="G996" t="s">
        <v>19</v>
      </c>
      <c r="H996">
        <v>5</v>
      </c>
      <c r="I996" s="3">
        <v>32</v>
      </c>
      <c r="J996" s="3">
        <v>160</v>
      </c>
      <c r="K996" t="s">
        <v>25</v>
      </c>
      <c r="L996" t="s">
        <v>18</v>
      </c>
    </row>
    <row r="997" spans="1:12" x14ac:dyDescent="0.3">
      <c r="A997">
        <v>10070</v>
      </c>
      <c r="B997" s="2">
        <v>45597</v>
      </c>
      <c r="C997" t="s">
        <v>37</v>
      </c>
      <c r="D997" t="s">
        <v>22</v>
      </c>
      <c r="E997" t="s">
        <v>14</v>
      </c>
      <c r="F997" t="s">
        <v>38</v>
      </c>
      <c r="G997" t="s">
        <v>39</v>
      </c>
      <c r="H997">
        <v>3</v>
      </c>
      <c r="I997" s="3">
        <v>91</v>
      </c>
      <c r="J997" s="3">
        <v>273</v>
      </c>
      <c r="K997" t="s">
        <v>17</v>
      </c>
      <c r="L997" t="s">
        <v>20</v>
      </c>
    </row>
    <row r="998" spans="1:12" x14ac:dyDescent="0.3">
      <c r="A998">
        <v>10471</v>
      </c>
      <c r="B998" s="2">
        <v>45597</v>
      </c>
      <c r="C998" t="s">
        <v>40</v>
      </c>
      <c r="D998" t="s">
        <v>13</v>
      </c>
      <c r="E998" t="s">
        <v>23</v>
      </c>
      <c r="F998" t="s">
        <v>28</v>
      </c>
      <c r="G998" t="s">
        <v>36</v>
      </c>
      <c r="H998">
        <v>3</v>
      </c>
      <c r="I998" s="3">
        <v>136</v>
      </c>
      <c r="J998" s="3">
        <v>408</v>
      </c>
      <c r="K998" t="s">
        <v>30</v>
      </c>
      <c r="L998" t="s">
        <v>20</v>
      </c>
    </row>
    <row r="999" spans="1:12" x14ac:dyDescent="0.3">
      <c r="A999">
        <v>10573</v>
      </c>
      <c r="B999" s="2">
        <v>45597</v>
      </c>
      <c r="C999" t="s">
        <v>12</v>
      </c>
      <c r="D999" t="s">
        <v>13</v>
      </c>
      <c r="E999" t="s">
        <v>14</v>
      </c>
      <c r="F999" t="s">
        <v>15</v>
      </c>
      <c r="G999" t="s">
        <v>24</v>
      </c>
      <c r="H999">
        <v>5</v>
      </c>
      <c r="I999" s="3">
        <v>79</v>
      </c>
      <c r="J999" s="3">
        <v>395</v>
      </c>
      <c r="K999" t="s">
        <v>35</v>
      </c>
      <c r="L999" t="s">
        <v>18</v>
      </c>
    </row>
    <row r="1000" spans="1:12" x14ac:dyDescent="0.3">
      <c r="A1000">
        <v>10778</v>
      </c>
      <c r="B1000" s="2">
        <v>45597</v>
      </c>
      <c r="C1000" t="s">
        <v>37</v>
      </c>
      <c r="D1000" t="s">
        <v>31</v>
      </c>
      <c r="E1000" t="s">
        <v>14</v>
      </c>
      <c r="F1000" t="s">
        <v>15</v>
      </c>
      <c r="G1000" t="s">
        <v>16</v>
      </c>
      <c r="H1000">
        <v>4</v>
      </c>
      <c r="I1000" s="3">
        <v>128</v>
      </c>
      <c r="J1000" s="3">
        <v>512</v>
      </c>
      <c r="K1000" t="s">
        <v>17</v>
      </c>
      <c r="L1000" t="s">
        <v>18</v>
      </c>
    </row>
    <row r="1001" spans="1:12" x14ac:dyDescent="0.3">
      <c r="A1001">
        <v>11067</v>
      </c>
      <c r="B1001" s="2">
        <v>45597</v>
      </c>
      <c r="C1001" t="s">
        <v>40</v>
      </c>
      <c r="D1001" t="s">
        <v>26</v>
      </c>
      <c r="E1001" t="s">
        <v>14</v>
      </c>
      <c r="F1001" t="s">
        <v>15</v>
      </c>
      <c r="G1001" t="s">
        <v>16</v>
      </c>
      <c r="H1001">
        <v>1</v>
      </c>
      <c r="I1001" s="3">
        <v>74</v>
      </c>
      <c r="J1001" s="3">
        <v>74</v>
      </c>
      <c r="K1001" t="s">
        <v>17</v>
      </c>
      <c r="L1001" t="s">
        <v>20</v>
      </c>
    </row>
    <row r="1002" spans="1:12" x14ac:dyDescent="0.3">
      <c r="A1002">
        <v>10015</v>
      </c>
      <c r="B1002" s="2">
        <v>45598</v>
      </c>
      <c r="C1002" t="s">
        <v>37</v>
      </c>
      <c r="D1002" t="s">
        <v>42</v>
      </c>
      <c r="E1002" t="s">
        <v>14</v>
      </c>
      <c r="F1002" t="s">
        <v>28</v>
      </c>
      <c r="G1002" t="s">
        <v>36</v>
      </c>
      <c r="H1002">
        <v>5</v>
      </c>
      <c r="I1002" s="3">
        <v>20</v>
      </c>
      <c r="J1002" s="3">
        <v>100</v>
      </c>
      <c r="K1002" t="s">
        <v>25</v>
      </c>
      <c r="L1002" t="s">
        <v>33</v>
      </c>
    </row>
    <row r="1003" spans="1:12" x14ac:dyDescent="0.3">
      <c r="A1003">
        <v>10933</v>
      </c>
      <c r="B1003" s="2">
        <v>45598</v>
      </c>
      <c r="C1003" t="s">
        <v>21</v>
      </c>
      <c r="D1003" t="s">
        <v>26</v>
      </c>
      <c r="E1003" t="s">
        <v>14</v>
      </c>
      <c r="F1003" t="s">
        <v>28</v>
      </c>
      <c r="G1003" t="s">
        <v>36</v>
      </c>
      <c r="H1003">
        <v>1</v>
      </c>
      <c r="I1003" s="3">
        <v>80</v>
      </c>
      <c r="J1003" s="3">
        <v>80</v>
      </c>
      <c r="K1003" t="s">
        <v>35</v>
      </c>
      <c r="L1003" t="s">
        <v>33</v>
      </c>
    </row>
    <row r="1004" spans="1:12" x14ac:dyDescent="0.3">
      <c r="A1004">
        <v>10470</v>
      </c>
      <c r="B1004" s="2">
        <v>45599</v>
      </c>
      <c r="C1004" t="s">
        <v>12</v>
      </c>
      <c r="D1004" t="s">
        <v>22</v>
      </c>
      <c r="E1004" t="s">
        <v>14</v>
      </c>
      <c r="F1004" t="s">
        <v>38</v>
      </c>
      <c r="G1004" t="s">
        <v>41</v>
      </c>
      <c r="H1004">
        <v>2</v>
      </c>
      <c r="I1004" s="3">
        <v>125</v>
      </c>
      <c r="J1004" s="3">
        <v>250</v>
      </c>
      <c r="K1004" t="s">
        <v>17</v>
      </c>
      <c r="L1004" t="s">
        <v>33</v>
      </c>
    </row>
    <row r="1005" spans="1:12" x14ac:dyDescent="0.3">
      <c r="A1005">
        <v>11083</v>
      </c>
      <c r="B1005" s="2">
        <v>45599</v>
      </c>
      <c r="C1005" t="s">
        <v>21</v>
      </c>
      <c r="D1005" t="s">
        <v>31</v>
      </c>
      <c r="E1005" t="s">
        <v>23</v>
      </c>
      <c r="F1005" t="s">
        <v>15</v>
      </c>
      <c r="G1005" t="s">
        <v>16</v>
      </c>
      <c r="H1005">
        <v>3</v>
      </c>
      <c r="I1005" s="3">
        <v>28</v>
      </c>
      <c r="J1005" s="3">
        <v>84</v>
      </c>
      <c r="K1005" t="s">
        <v>30</v>
      </c>
      <c r="L1005" t="s">
        <v>27</v>
      </c>
    </row>
    <row r="1006" spans="1:12" x14ac:dyDescent="0.3">
      <c r="A1006">
        <v>10146</v>
      </c>
      <c r="B1006" s="2">
        <v>45600</v>
      </c>
      <c r="C1006" t="s">
        <v>12</v>
      </c>
      <c r="D1006" t="s">
        <v>31</v>
      </c>
      <c r="E1006" t="s">
        <v>14</v>
      </c>
      <c r="F1006" t="s">
        <v>28</v>
      </c>
      <c r="G1006" t="s">
        <v>29</v>
      </c>
      <c r="H1006">
        <v>2</v>
      </c>
      <c r="I1006" s="3">
        <v>64</v>
      </c>
      <c r="J1006" s="3">
        <v>128</v>
      </c>
      <c r="K1006" t="s">
        <v>30</v>
      </c>
      <c r="L1006" t="s">
        <v>27</v>
      </c>
    </row>
    <row r="1007" spans="1:12" x14ac:dyDescent="0.3">
      <c r="A1007">
        <v>10812</v>
      </c>
      <c r="B1007" s="2">
        <v>45600</v>
      </c>
      <c r="C1007" t="s">
        <v>21</v>
      </c>
      <c r="D1007" t="s">
        <v>13</v>
      </c>
      <c r="E1007" t="s">
        <v>23</v>
      </c>
      <c r="F1007" t="s">
        <v>28</v>
      </c>
      <c r="G1007" t="s">
        <v>36</v>
      </c>
      <c r="H1007">
        <v>2</v>
      </c>
      <c r="I1007" s="3">
        <v>106</v>
      </c>
      <c r="J1007" s="3">
        <v>212</v>
      </c>
      <c r="K1007" t="s">
        <v>30</v>
      </c>
      <c r="L1007" t="s">
        <v>27</v>
      </c>
    </row>
    <row r="1008" spans="1:12" x14ac:dyDescent="0.3">
      <c r="A1008">
        <v>10947</v>
      </c>
      <c r="B1008" s="2">
        <v>45600</v>
      </c>
      <c r="C1008" t="s">
        <v>12</v>
      </c>
      <c r="D1008" t="s">
        <v>31</v>
      </c>
      <c r="E1008" t="s">
        <v>14</v>
      </c>
      <c r="F1008" t="s">
        <v>15</v>
      </c>
      <c r="G1008" t="s">
        <v>16</v>
      </c>
      <c r="H1008">
        <v>3</v>
      </c>
      <c r="I1008" s="3">
        <v>83</v>
      </c>
      <c r="J1008" s="3">
        <v>249</v>
      </c>
      <c r="K1008" t="s">
        <v>25</v>
      </c>
      <c r="L1008" t="s">
        <v>27</v>
      </c>
    </row>
    <row r="1009" spans="1:12" x14ac:dyDescent="0.3">
      <c r="A1009">
        <v>11066</v>
      </c>
      <c r="B1009" s="2">
        <v>45600</v>
      </c>
      <c r="C1009" t="s">
        <v>37</v>
      </c>
      <c r="D1009" t="s">
        <v>31</v>
      </c>
      <c r="E1009" t="s">
        <v>14</v>
      </c>
      <c r="F1009" t="s">
        <v>28</v>
      </c>
      <c r="G1009" t="s">
        <v>34</v>
      </c>
      <c r="H1009">
        <v>1</v>
      </c>
      <c r="I1009" s="3">
        <v>112</v>
      </c>
      <c r="J1009" s="3">
        <v>112</v>
      </c>
      <c r="K1009" t="s">
        <v>35</v>
      </c>
      <c r="L1009" t="s">
        <v>20</v>
      </c>
    </row>
    <row r="1010" spans="1:12" x14ac:dyDescent="0.3">
      <c r="A1010">
        <v>10086</v>
      </c>
      <c r="B1010" s="2">
        <v>45601</v>
      </c>
      <c r="C1010" t="s">
        <v>37</v>
      </c>
      <c r="D1010" t="s">
        <v>31</v>
      </c>
      <c r="E1010" t="s">
        <v>14</v>
      </c>
      <c r="F1010" t="s">
        <v>15</v>
      </c>
      <c r="G1010" t="s">
        <v>16</v>
      </c>
      <c r="H1010">
        <v>4</v>
      </c>
      <c r="I1010" s="3">
        <v>102</v>
      </c>
      <c r="J1010" s="3">
        <v>408</v>
      </c>
      <c r="K1010" t="s">
        <v>32</v>
      </c>
      <c r="L1010" t="s">
        <v>18</v>
      </c>
    </row>
    <row r="1011" spans="1:12" x14ac:dyDescent="0.3">
      <c r="A1011">
        <v>10150</v>
      </c>
      <c r="B1011" s="2">
        <v>45601</v>
      </c>
      <c r="C1011" t="s">
        <v>21</v>
      </c>
      <c r="D1011" t="s">
        <v>22</v>
      </c>
      <c r="E1011" t="s">
        <v>14</v>
      </c>
      <c r="F1011" t="s">
        <v>38</v>
      </c>
      <c r="G1011" t="s">
        <v>43</v>
      </c>
      <c r="H1011">
        <v>2</v>
      </c>
      <c r="I1011" s="3">
        <v>102</v>
      </c>
      <c r="J1011" s="3">
        <v>204</v>
      </c>
      <c r="K1011" t="s">
        <v>25</v>
      </c>
      <c r="L1011" t="s">
        <v>27</v>
      </c>
    </row>
    <row r="1012" spans="1:12" x14ac:dyDescent="0.3">
      <c r="A1012">
        <v>10261</v>
      </c>
      <c r="B1012" s="2">
        <v>45601</v>
      </c>
      <c r="C1012" t="s">
        <v>21</v>
      </c>
      <c r="D1012" t="s">
        <v>26</v>
      </c>
      <c r="E1012" t="s">
        <v>14</v>
      </c>
      <c r="F1012" t="s">
        <v>38</v>
      </c>
      <c r="G1012" t="s">
        <v>41</v>
      </c>
      <c r="H1012">
        <v>1</v>
      </c>
      <c r="I1012" s="3">
        <v>107</v>
      </c>
      <c r="J1012" s="3">
        <v>107</v>
      </c>
      <c r="K1012" t="s">
        <v>35</v>
      </c>
      <c r="L1012" t="s">
        <v>27</v>
      </c>
    </row>
    <row r="1013" spans="1:12" x14ac:dyDescent="0.3">
      <c r="A1013">
        <v>10574</v>
      </c>
      <c r="B1013" s="2">
        <v>45601</v>
      </c>
      <c r="C1013" t="s">
        <v>21</v>
      </c>
      <c r="D1013" t="s">
        <v>26</v>
      </c>
      <c r="E1013" t="s">
        <v>14</v>
      </c>
      <c r="F1013" t="s">
        <v>15</v>
      </c>
      <c r="G1013" t="s">
        <v>19</v>
      </c>
      <c r="H1013">
        <v>2</v>
      </c>
      <c r="I1013" s="3">
        <v>148</v>
      </c>
      <c r="J1013" s="3">
        <v>296</v>
      </c>
      <c r="K1013" t="s">
        <v>30</v>
      </c>
      <c r="L1013" t="s">
        <v>27</v>
      </c>
    </row>
    <row r="1014" spans="1:12" x14ac:dyDescent="0.3">
      <c r="A1014">
        <v>10137</v>
      </c>
      <c r="B1014" s="2">
        <v>45602</v>
      </c>
      <c r="C1014" t="s">
        <v>21</v>
      </c>
      <c r="D1014" t="s">
        <v>42</v>
      </c>
      <c r="E1014" t="s">
        <v>23</v>
      </c>
      <c r="F1014" t="s">
        <v>38</v>
      </c>
      <c r="G1014" t="s">
        <v>43</v>
      </c>
      <c r="H1014">
        <v>4</v>
      </c>
      <c r="I1014" s="3">
        <v>144</v>
      </c>
      <c r="J1014" s="3">
        <v>576</v>
      </c>
      <c r="K1014" t="s">
        <v>32</v>
      </c>
      <c r="L1014" t="s">
        <v>18</v>
      </c>
    </row>
    <row r="1015" spans="1:12" x14ac:dyDescent="0.3">
      <c r="A1015">
        <v>10205</v>
      </c>
      <c r="B1015" s="2">
        <v>45602</v>
      </c>
      <c r="C1015" t="s">
        <v>12</v>
      </c>
      <c r="D1015" t="s">
        <v>26</v>
      </c>
      <c r="E1015" t="s">
        <v>23</v>
      </c>
      <c r="F1015" t="s">
        <v>38</v>
      </c>
      <c r="G1015" t="s">
        <v>43</v>
      </c>
      <c r="H1015">
        <v>4</v>
      </c>
      <c r="I1015" s="3">
        <v>58</v>
      </c>
      <c r="J1015" s="3">
        <v>232</v>
      </c>
      <c r="K1015" t="s">
        <v>32</v>
      </c>
      <c r="L1015" t="s">
        <v>27</v>
      </c>
    </row>
    <row r="1016" spans="1:12" x14ac:dyDescent="0.3">
      <c r="A1016">
        <v>10007</v>
      </c>
      <c r="B1016" s="2">
        <v>45603</v>
      </c>
      <c r="C1016" t="s">
        <v>12</v>
      </c>
      <c r="D1016" t="s">
        <v>22</v>
      </c>
      <c r="E1016" t="s">
        <v>14</v>
      </c>
      <c r="F1016" t="s">
        <v>28</v>
      </c>
      <c r="G1016" t="s">
        <v>36</v>
      </c>
      <c r="H1016">
        <v>3</v>
      </c>
      <c r="I1016" s="3">
        <v>38</v>
      </c>
      <c r="J1016" s="3">
        <v>114</v>
      </c>
      <c r="K1016" t="s">
        <v>32</v>
      </c>
      <c r="L1016" t="s">
        <v>27</v>
      </c>
    </row>
    <row r="1017" spans="1:12" x14ac:dyDescent="0.3">
      <c r="A1017">
        <v>10133</v>
      </c>
      <c r="B1017" s="2">
        <v>45603</v>
      </c>
      <c r="C1017" t="s">
        <v>37</v>
      </c>
      <c r="D1017" t="s">
        <v>31</v>
      </c>
      <c r="E1017" t="s">
        <v>14</v>
      </c>
      <c r="F1017" t="s">
        <v>15</v>
      </c>
      <c r="G1017" t="s">
        <v>16</v>
      </c>
      <c r="H1017">
        <v>4</v>
      </c>
      <c r="I1017" s="3">
        <v>26</v>
      </c>
      <c r="J1017" s="3">
        <v>104</v>
      </c>
      <c r="K1017" t="s">
        <v>35</v>
      </c>
      <c r="L1017" t="s">
        <v>33</v>
      </c>
    </row>
    <row r="1018" spans="1:12" x14ac:dyDescent="0.3">
      <c r="A1018">
        <v>10577</v>
      </c>
      <c r="B1018" s="2">
        <v>45603</v>
      </c>
      <c r="C1018" t="s">
        <v>21</v>
      </c>
      <c r="D1018" t="s">
        <v>26</v>
      </c>
      <c r="E1018" t="s">
        <v>23</v>
      </c>
      <c r="F1018" t="s">
        <v>28</v>
      </c>
      <c r="G1018" t="s">
        <v>29</v>
      </c>
      <c r="H1018">
        <v>4</v>
      </c>
      <c r="I1018" s="3">
        <v>30</v>
      </c>
      <c r="J1018" s="3">
        <v>120</v>
      </c>
      <c r="K1018" t="s">
        <v>17</v>
      </c>
      <c r="L1018" t="s">
        <v>18</v>
      </c>
    </row>
    <row r="1019" spans="1:12" x14ac:dyDescent="0.3">
      <c r="A1019">
        <v>10049</v>
      </c>
      <c r="B1019" s="2">
        <v>45604</v>
      </c>
      <c r="C1019" t="s">
        <v>40</v>
      </c>
      <c r="D1019" t="s">
        <v>42</v>
      </c>
      <c r="E1019" t="s">
        <v>23</v>
      </c>
      <c r="F1019" t="s">
        <v>28</v>
      </c>
      <c r="G1019" t="s">
        <v>34</v>
      </c>
      <c r="H1019">
        <v>2</v>
      </c>
      <c r="I1019" s="3">
        <v>141</v>
      </c>
      <c r="J1019" s="3">
        <v>282</v>
      </c>
      <c r="K1019" t="s">
        <v>17</v>
      </c>
      <c r="L1019" t="s">
        <v>20</v>
      </c>
    </row>
    <row r="1020" spans="1:12" x14ac:dyDescent="0.3">
      <c r="A1020">
        <v>10032</v>
      </c>
      <c r="B1020" s="2">
        <v>45605</v>
      </c>
      <c r="C1020" t="s">
        <v>40</v>
      </c>
      <c r="D1020" t="s">
        <v>22</v>
      </c>
      <c r="E1020" t="s">
        <v>23</v>
      </c>
      <c r="F1020" t="s">
        <v>38</v>
      </c>
      <c r="G1020" t="s">
        <v>41</v>
      </c>
      <c r="H1020">
        <v>4</v>
      </c>
      <c r="I1020" s="3">
        <v>97</v>
      </c>
      <c r="J1020" s="3">
        <v>388</v>
      </c>
      <c r="K1020" t="s">
        <v>25</v>
      </c>
      <c r="L1020" t="s">
        <v>20</v>
      </c>
    </row>
    <row r="1021" spans="1:12" x14ac:dyDescent="0.3">
      <c r="A1021">
        <v>10412</v>
      </c>
      <c r="B1021" s="2">
        <v>45605</v>
      </c>
      <c r="C1021" t="s">
        <v>40</v>
      </c>
      <c r="D1021" t="s">
        <v>13</v>
      </c>
      <c r="E1021" t="s">
        <v>23</v>
      </c>
      <c r="F1021" t="s">
        <v>28</v>
      </c>
      <c r="G1021" t="s">
        <v>36</v>
      </c>
      <c r="H1021">
        <v>4</v>
      </c>
      <c r="I1021" s="3">
        <v>111</v>
      </c>
      <c r="J1021" s="3">
        <v>444</v>
      </c>
      <c r="K1021" t="s">
        <v>30</v>
      </c>
      <c r="L1021" t="s">
        <v>18</v>
      </c>
    </row>
    <row r="1022" spans="1:12" x14ac:dyDescent="0.3">
      <c r="A1022">
        <v>10485</v>
      </c>
      <c r="B1022" s="2">
        <v>45606</v>
      </c>
      <c r="C1022" t="s">
        <v>12</v>
      </c>
      <c r="D1022" t="s">
        <v>31</v>
      </c>
      <c r="E1022" t="s">
        <v>23</v>
      </c>
      <c r="F1022" t="s">
        <v>15</v>
      </c>
      <c r="G1022" t="s">
        <v>24</v>
      </c>
      <c r="H1022">
        <v>5</v>
      </c>
      <c r="I1022" s="3">
        <v>79</v>
      </c>
      <c r="J1022" s="3">
        <v>395</v>
      </c>
      <c r="K1022" t="s">
        <v>32</v>
      </c>
      <c r="L1022" t="s">
        <v>18</v>
      </c>
    </row>
    <row r="1023" spans="1:12" x14ac:dyDescent="0.3">
      <c r="A1023">
        <v>10310</v>
      </c>
      <c r="B1023" s="2">
        <v>45607</v>
      </c>
      <c r="C1023" t="s">
        <v>21</v>
      </c>
      <c r="D1023" t="s">
        <v>13</v>
      </c>
      <c r="E1023" t="s">
        <v>14</v>
      </c>
      <c r="F1023" t="s">
        <v>15</v>
      </c>
      <c r="G1023" t="s">
        <v>16</v>
      </c>
      <c r="H1023">
        <v>2</v>
      </c>
      <c r="I1023" s="3">
        <v>125</v>
      </c>
      <c r="J1023" s="3">
        <v>250</v>
      </c>
      <c r="K1023" t="s">
        <v>25</v>
      </c>
      <c r="L1023" t="s">
        <v>20</v>
      </c>
    </row>
    <row r="1024" spans="1:12" x14ac:dyDescent="0.3">
      <c r="A1024">
        <v>10595</v>
      </c>
      <c r="B1024" s="2">
        <v>45607</v>
      </c>
      <c r="C1024" t="s">
        <v>21</v>
      </c>
      <c r="D1024" t="s">
        <v>42</v>
      </c>
      <c r="E1024" t="s">
        <v>14</v>
      </c>
      <c r="F1024" t="s">
        <v>28</v>
      </c>
      <c r="G1024" t="s">
        <v>29</v>
      </c>
      <c r="H1024">
        <v>1</v>
      </c>
      <c r="I1024" s="3">
        <v>73</v>
      </c>
      <c r="J1024" s="3">
        <v>73</v>
      </c>
      <c r="K1024" t="s">
        <v>35</v>
      </c>
      <c r="L1024" t="s">
        <v>33</v>
      </c>
    </row>
    <row r="1025" spans="1:12" x14ac:dyDescent="0.3">
      <c r="A1025">
        <v>11095</v>
      </c>
      <c r="B1025" s="2">
        <v>45607</v>
      </c>
      <c r="C1025" t="s">
        <v>21</v>
      </c>
      <c r="D1025" t="s">
        <v>31</v>
      </c>
      <c r="E1025" t="s">
        <v>23</v>
      </c>
      <c r="F1025" t="s">
        <v>28</v>
      </c>
      <c r="G1025" t="s">
        <v>34</v>
      </c>
      <c r="H1025">
        <v>1</v>
      </c>
      <c r="I1025" s="3">
        <v>24</v>
      </c>
      <c r="J1025" s="3">
        <v>24</v>
      </c>
      <c r="K1025" t="s">
        <v>17</v>
      </c>
      <c r="L1025" t="s">
        <v>18</v>
      </c>
    </row>
    <row r="1026" spans="1:12" x14ac:dyDescent="0.3">
      <c r="A1026">
        <v>10816</v>
      </c>
      <c r="B1026" s="2">
        <v>45608</v>
      </c>
      <c r="C1026" t="s">
        <v>12</v>
      </c>
      <c r="D1026" t="s">
        <v>31</v>
      </c>
      <c r="E1026" t="s">
        <v>14</v>
      </c>
      <c r="F1026" t="s">
        <v>28</v>
      </c>
      <c r="G1026" t="s">
        <v>29</v>
      </c>
      <c r="H1026">
        <v>4</v>
      </c>
      <c r="I1026" s="3">
        <v>49</v>
      </c>
      <c r="J1026" s="3">
        <v>196</v>
      </c>
      <c r="K1026" t="s">
        <v>30</v>
      </c>
      <c r="L1026" t="s">
        <v>33</v>
      </c>
    </row>
    <row r="1027" spans="1:12" x14ac:dyDescent="0.3">
      <c r="A1027">
        <v>11007</v>
      </c>
      <c r="B1027" s="2">
        <v>45608</v>
      </c>
      <c r="C1027" t="s">
        <v>21</v>
      </c>
      <c r="D1027" t="s">
        <v>31</v>
      </c>
      <c r="E1027" t="s">
        <v>23</v>
      </c>
      <c r="F1027" t="s">
        <v>15</v>
      </c>
      <c r="G1027" t="s">
        <v>24</v>
      </c>
      <c r="H1027">
        <v>1</v>
      </c>
      <c r="I1027" s="3">
        <v>138</v>
      </c>
      <c r="J1027" s="3">
        <v>138</v>
      </c>
      <c r="K1027" t="s">
        <v>25</v>
      </c>
      <c r="L1027" t="s">
        <v>27</v>
      </c>
    </row>
    <row r="1028" spans="1:12" x14ac:dyDescent="0.3">
      <c r="A1028">
        <v>10104</v>
      </c>
      <c r="B1028" s="2">
        <v>45609</v>
      </c>
      <c r="C1028" t="s">
        <v>12</v>
      </c>
      <c r="D1028" t="s">
        <v>42</v>
      </c>
      <c r="E1028" t="s">
        <v>14</v>
      </c>
      <c r="F1028" t="s">
        <v>28</v>
      </c>
      <c r="G1028" t="s">
        <v>34</v>
      </c>
      <c r="H1028">
        <v>1</v>
      </c>
      <c r="I1028" s="3">
        <v>117</v>
      </c>
      <c r="J1028" s="3">
        <v>117</v>
      </c>
      <c r="K1028" t="s">
        <v>32</v>
      </c>
      <c r="L1028" t="s">
        <v>27</v>
      </c>
    </row>
    <row r="1029" spans="1:12" x14ac:dyDescent="0.3">
      <c r="A1029">
        <v>10109</v>
      </c>
      <c r="B1029" s="2">
        <v>45609</v>
      </c>
      <c r="C1029" t="s">
        <v>37</v>
      </c>
      <c r="D1029" t="s">
        <v>13</v>
      </c>
      <c r="E1029" t="s">
        <v>14</v>
      </c>
      <c r="F1029" t="s">
        <v>15</v>
      </c>
      <c r="G1029" t="s">
        <v>19</v>
      </c>
      <c r="H1029">
        <v>2</v>
      </c>
      <c r="I1029" s="3">
        <v>68</v>
      </c>
      <c r="J1029" s="3">
        <v>136</v>
      </c>
      <c r="K1029" t="s">
        <v>25</v>
      </c>
      <c r="L1029" t="s">
        <v>33</v>
      </c>
    </row>
    <row r="1030" spans="1:12" x14ac:dyDescent="0.3">
      <c r="A1030">
        <v>11142</v>
      </c>
      <c r="B1030" s="2">
        <v>45609</v>
      </c>
      <c r="C1030" t="s">
        <v>21</v>
      </c>
      <c r="D1030" t="s">
        <v>42</v>
      </c>
      <c r="E1030" t="s">
        <v>23</v>
      </c>
      <c r="F1030" t="s">
        <v>15</v>
      </c>
      <c r="G1030" t="s">
        <v>16</v>
      </c>
      <c r="H1030">
        <v>3</v>
      </c>
      <c r="I1030" s="3">
        <v>77</v>
      </c>
      <c r="J1030" s="3">
        <v>231</v>
      </c>
      <c r="K1030" t="s">
        <v>25</v>
      </c>
      <c r="L1030" t="s">
        <v>20</v>
      </c>
    </row>
    <row r="1031" spans="1:12" x14ac:dyDescent="0.3">
      <c r="A1031">
        <v>10062</v>
      </c>
      <c r="B1031" s="2">
        <v>45610</v>
      </c>
      <c r="C1031" t="s">
        <v>12</v>
      </c>
      <c r="D1031" t="s">
        <v>13</v>
      </c>
      <c r="E1031" t="s">
        <v>14</v>
      </c>
      <c r="F1031" t="s">
        <v>28</v>
      </c>
      <c r="G1031" t="s">
        <v>34</v>
      </c>
      <c r="H1031">
        <v>2</v>
      </c>
      <c r="I1031" s="3">
        <v>25</v>
      </c>
      <c r="J1031" s="3">
        <v>50</v>
      </c>
      <c r="K1031" t="s">
        <v>30</v>
      </c>
      <c r="L1031" t="s">
        <v>18</v>
      </c>
    </row>
    <row r="1032" spans="1:12" x14ac:dyDescent="0.3">
      <c r="A1032">
        <v>10328</v>
      </c>
      <c r="B1032" s="2">
        <v>45610</v>
      </c>
      <c r="C1032" t="s">
        <v>12</v>
      </c>
      <c r="D1032" t="s">
        <v>42</v>
      </c>
      <c r="E1032" t="s">
        <v>23</v>
      </c>
      <c r="F1032" t="s">
        <v>28</v>
      </c>
      <c r="G1032" t="s">
        <v>29</v>
      </c>
      <c r="H1032">
        <v>5</v>
      </c>
      <c r="I1032" s="3">
        <v>97</v>
      </c>
      <c r="J1032" s="3">
        <v>485</v>
      </c>
      <c r="K1032" t="s">
        <v>17</v>
      </c>
      <c r="L1032" t="s">
        <v>27</v>
      </c>
    </row>
    <row r="1033" spans="1:12" x14ac:dyDescent="0.3">
      <c r="A1033">
        <v>10403</v>
      </c>
      <c r="B1033" s="2">
        <v>45610</v>
      </c>
      <c r="C1033" t="s">
        <v>12</v>
      </c>
      <c r="D1033" t="s">
        <v>42</v>
      </c>
      <c r="E1033" t="s">
        <v>14</v>
      </c>
      <c r="F1033" t="s">
        <v>38</v>
      </c>
      <c r="G1033" t="s">
        <v>39</v>
      </c>
      <c r="H1033">
        <v>1</v>
      </c>
      <c r="I1033" s="3">
        <v>89</v>
      </c>
      <c r="J1033" s="3">
        <v>89</v>
      </c>
      <c r="K1033" t="s">
        <v>17</v>
      </c>
      <c r="L1033" t="s">
        <v>18</v>
      </c>
    </row>
    <row r="1034" spans="1:12" x14ac:dyDescent="0.3">
      <c r="A1034">
        <v>10558</v>
      </c>
      <c r="B1034" s="2">
        <v>45611</v>
      </c>
      <c r="C1034" t="s">
        <v>12</v>
      </c>
      <c r="D1034" t="s">
        <v>42</v>
      </c>
      <c r="E1034" t="s">
        <v>14</v>
      </c>
      <c r="F1034" t="s">
        <v>38</v>
      </c>
      <c r="G1034" t="s">
        <v>41</v>
      </c>
      <c r="H1034">
        <v>3</v>
      </c>
      <c r="I1034" s="3">
        <v>133</v>
      </c>
      <c r="J1034" s="3">
        <v>399</v>
      </c>
      <c r="K1034" t="s">
        <v>32</v>
      </c>
      <c r="L1034" t="s">
        <v>20</v>
      </c>
    </row>
    <row r="1035" spans="1:12" x14ac:dyDescent="0.3">
      <c r="A1035">
        <v>10751</v>
      </c>
      <c r="B1035" s="2">
        <v>45611</v>
      </c>
      <c r="C1035" t="s">
        <v>21</v>
      </c>
      <c r="D1035" t="s">
        <v>22</v>
      </c>
      <c r="E1035" t="s">
        <v>14</v>
      </c>
      <c r="F1035" t="s">
        <v>28</v>
      </c>
      <c r="G1035" t="s">
        <v>29</v>
      </c>
      <c r="H1035">
        <v>4</v>
      </c>
      <c r="I1035" s="3">
        <v>84</v>
      </c>
      <c r="J1035" s="3">
        <v>336</v>
      </c>
      <c r="K1035" t="s">
        <v>25</v>
      </c>
      <c r="L1035" t="s">
        <v>20</v>
      </c>
    </row>
    <row r="1036" spans="1:12" x14ac:dyDescent="0.3">
      <c r="A1036">
        <v>10801</v>
      </c>
      <c r="B1036" s="2">
        <v>45611</v>
      </c>
      <c r="C1036" t="s">
        <v>37</v>
      </c>
      <c r="D1036" t="s">
        <v>26</v>
      </c>
      <c r="E1036" t="s">
        <v>14</v>
      </c>
      <c r="F1036" t="s">
        <v>38</v>
      </c>
      <c r="G1036" t="s">
        <v>43</v>
      </c>
      <c r="H1036">
        <v>4</v>
      </c>
      <c r="I1036" s="3">
        <v>135</v>
      </c>
      <c r="J1036" s="3">
        <v>540</v>
      </c>
      <c r="K1036" t="s">
        <v>32</v>
      </c>
      <c r="L1036" t="s">
        <v>20</v>
      </c>
    </row>
    <row r="1037" spans="1:12" x14ac:dyDescent="0.3">
      <c r="A1037">
        <v>10841</v>
      </c>
      <c r="B1037" s="2">
        <v>45611</v>
      </c>
      <c r="C1037" t="s">
        <v>21</v>
      </c>
      <c r="D1037" t="s">
        <v>42</v>
      </c>
      <c r="E1037" t="s">
        <v>14</v>
      </c>
      <c r="F1037" t="s">
        <v>28</v>
      </c>
      <c r="G1037" t="s">
        <v>36</v>
      </c>
      <c r="H1037">
        <v>3</v>
      </c>
      <c r="I1037" s="3">
        <v>42</v>
      </c>
      <c r="J1037" s="3">
        <v>126</v>
      </c>
      <c r="K1037" t="s">
        <v>30</v>
      </c>
      <c r="L1037" t="s">
        <v>33</v>
      </c>
    </row>
    <row r="1038" spans="1:12" x14ac:dyDescent="0.3">
      <c r="A1038">
        <v>11155</v>
      </c>
      <c r="B1038" s="2">
        <v>45611</v>
      </c>
      <c r="C1038" t="s">
        <v>12</v>
      </c>
      <c r="D1038" t="s">
        <v>26</v>
      </c>
      <c r="E1038" t="s">
        <v>23</v>
      </c>
      <c r="F1038" t="s">
        <v>15</v>
      </c>
      <c r="G1038" t="s">
        <v>16</v>
      </c>
      <c r="H1038">
        <v>5</v>
      </c>
      <c r="I1038" s="3">
        <v>94</v>
      </c>
      <c r="J1038" s="3">
        <v>470</v>
      </c>
      <c r="K1038" t="s">
        <v>35</v>
      </c>
      <c r="L1038" t="s">
        <v>18</v>
      </c>
    </row>
    <row r="1039" spans="1:12" x14ac:dyDescent="0.3">
      <c r="A1039">
        <v>11168</v>
      </c>
      <c r="B1039" s="2">
        <v>45611</v>
      </c>
      <c r="C1039" t="s">
        <v>12</v>
      </c>
      <c r="D1039" t="s">
        <v>31</v>
      </c>
      <c r="E1039" t="s">
        <v>14</v>
      </c>
      <c r="F1039" t="s">
        <v>15</v>
      </c>
      <c r="G1039" t="s">
        <v>19</v>
      </c>
      <c r="H1039">
        <v>1</v>
      </c>
      <c r="I1039" s="3">
        <v>144</v>
      </c>
      <c r="J1039" s="3">
        <v>144</v>
      </c>
      <c r="K1039" t="s">
        <v>25</v>
      </c>
      <c r="L1039" t="s">
        <v>20</v>
      </c>
    </row>
    <row r="1040" spans="1:12" x14ac:dyDescent="0.3">
      <c r="A1040">
        <v>10083</v>
      </c>
      <c r="B1040" s="2">
        <v>45612</v>
      </c>
      <c r="C1040" t="s">
        <v>12</v>
      </c>
      <c r="D1040" t="s">
        <v>42</v>
      </c>
      <c r="E1040" t="s">
        <v>14</v>
      </c>
      <c r="F1040" t="s">
        <v>28</v>
      </c>
      <c r="G1040" t="s">
        <v>36</v>
      </c>
      <c r="H1040">
        <v>2</v>
      </c>
      <c r="I1040" s="3">
        <v>87</v>
      </c>
      <c r="J1040" s="3">
        <v>174</v>
      </c>
      <c r="K1040" t="s">
        <v>17</v>
      </c>
      <c r="L1040" t="s">
        <v>20</v>
      </c>
    </row>
    <row r="1041" spans="1:12" x14ac:dyDescent="0.3">
      <c r="A1041">
        <v>10091</v>
      </c>
      <c r="B1041" s="2">
        <v>45612</v>
      </c>
      <c r="C1041" t="s">
        <v>21</v>
      </c>
      <c r="D1041" t="s">
        <v>31</v>
      </c>
      <c r="E1041" t="s">
        <v>14</v>
      </c>
      <c r="F1041" t="s">
        <v>28</v>
      </c>
      <c r="G1041" t="s">
        <v>36</v>
      </c>
      <c r="H1041">
        <v>3</v>
      </c>
      <c r="I1041" s="3">
        <v>147</v>
      </c>
      <c r="J1041" s="3">
        <v>441</v>
      </c>
      <c r="K1041" t="s">
        <v>35</v>
      </c>
      <c r="L1041" t="s">
        <v>20</v>
      </c>
    </row>
    <row r="1042" spans="1:12" x14ac:dyDescent="0.3">
      <c r="A1042">
        <v>10269</v>
      </c>
      <c r="B1042" s="2">
        <v>45612</v>
      </c>
      <c r="C1042" t="s">
        <v>21</v>
      </c>
      <c r="D1042" t="s">
        <v>22</v>
      </c>
      <c r="E1042" t="s">
        <v>14</v>
      </c>
      <c r="F1042" t="s">
        <v>28</v>
      </c>
      <c r="G1042" t="s">
        <v>29</v>
      </c>
      <c r="H1042">
        <v>3</v>
      </c>
      <c r="I1042" s="3">
        <v>83</v>
      </c>
      <c r="J1042" s="3">
        <v>249</v>
      </c>
      <c r="K1042" t="s">
        <v>30</v>
      </c>
      <c r="L1042" t="s">
        <v>18</v>
      </c>
    </row>
    <row r="1043" spans="1:12" x14ac:dyDescent="0.3">
      <c r="A1043">
        <v>10585</v>
      </c>
      <c r="B1043" s="2">
        <v>45612</v>
      </c>
      <c r="C1043" t="s">
        <v>12</v>
      </c>
      <c r="D1043" t="s">
        <v>31</v>
      </c>
      <c r="E1043" t="s">
        <v>14</v>
      </c>
      <c r="F1043" t="s">
        <v>38</v>
      </c>
      <c r="G1043" t="s">
        <v>43</v>
      </c>
      <c r="H1043">
        <v>4</v>
      </c>
      <c r="I1043" s="3">
        <v>93</v>
      </c>
      <c r="J1043" s="3">
        <v>372</v>
      </c>
      <c r="K1043" t="s">
        <v>32</v>
      </c>
      <c r="L1043" t="s">
        <v>18</v>
      </c>
    </row>
    <row r="1044" spans="1:12" x14ac:dyDescent="0.3">
      <c r="A1044">
        <v>10624</v>
      </c>
      <c r="B1044" s="2">
        <v>45612</v>
      </c>
      <c r="C1044" t="s">
        <v>37</v>
      </c>
      <c r="D1044" t="s">
        <v>42</v>
      </c>
      <c r="E1044" t="s">
        <v>23</v>
      </c>
      <c r="F1044" t="s">
        <v>28</v>
      </c>
      <c r="G1044" t="s">
        <v>34</v>
      </c>
      <c r="H1044">
        <v>4</v>
      </c>
      <c r="I1044" s="3">
        <v>120</v>
      </c>
      <c r="J1044" s="3">
        <v>480</v>
      </c>
      <c r="K1044" t="s">
        <v>30</v>
      </c>
      <c r="L1044" t="s">
        <v>27</v>
      </c>
    </row>
    <row r="1045" spans="1:12" x14ac:dyDescent="0.3">
      <c r="A1045">
        <v>11036</v>
      </c>
      <c r="B1045" s="2">
        <v>45612</v>
      </c>
      <c r="C1045" t="s">
        <v>40</v>
      </c>
      <c r="D1045" t="s">
        <v>26</v>
      </c>
      <c r="E1045" t="s">
        <v>14</v>
      </c>
      <c r="F1045" t="s">
        <v>15</v>
      </c>
      <c r="G1045" t="s">
        <v>19</v>
      </c>
      <c r="H1045">
        <v>3</v>
      </c>
      <c r="I1045" s="3">
        <v>34</v>
      </c>
      <c r="J1045" s="3">
        <v>102</v>
      </c>
      <c r="K1045" t="s">
        <v>35</v>
      </c>
      <c r="L1045" t="s">
        <v>20</v>
      </c>
    </row>
    <row r="1046" spans="1:12" x14ac:dyDescent="0.3">
      <c r="A1046">
        <v>10147</v>
      </c>
      <c r="B1046" s="2">
        <v>45613</v>
      </c>
      <c r="C1046" t="s">
        <v>37</v>
      </c>
      <c r="D1046" t="s">
        <v>13</v>
      </c>
      <c r="E1046" t="s">
        <v>23</v>
      </c>
      <c r="F1046" t="s">
        <v>15</v>
      </c>
      <c r="G1046" t="s">
        <v>24</v>
      </c>
      <c r="H1046">
        <v>4</v>
      </c>
      <c r="I1046" s="3">
        <v>102</v>
      </c>
      <c r="J1046" s="3">
        <v>408</v>
      </c>
      <c r="K1046" t="s">
        <v>25</v>
      </c>
      <c r="L1046" t="s">
        <v>27</v>
      </c>
    </row>
    <row r="1047" spans="1:12" x14ac:dyDescent="0.3">
      <c r="A1047">
        <v>11045</v>
      </c>
      <c r="B1047" s="2">
        <v>45613</v>
      </c>
      <c r="C1047" t="s">
        <v>40</v>
      </c>
      <c r="D1047" t="s">
        <v>31</v>
      </c>
      <c r="E1047" t="s">
        <v>14</v>
      </c>
      <c r="F1047" t="s">
        <v>28</v>
      </c>
      <c r="G1047" t="s">
        <v>34</v>
      </c>
      <c r="H1047">
        <v>1</v>
      </c>
      <c r="I1047" s="3">
        <v>88</v>
      </c>
      <c r="J1047" s="3">
        <v>88</v>
      </c>
      <c r="K1047" t="s">
        <v>25</v>
      </c>
      <c r="L1047" t="s">
        <v>33</v>
      </c>
    </row>
    <row r="1048" spans="1:12" x14ac:dyDescent="0.3">
      <c r="A1048">
        <v>11102</v>
      </c>
      <c r="B1048" s="2">
        <v>45613</v>
      </c>
      <c r="C1048" t="s">
        <v>37</v>
      </c>
      <c r="D1048" t="s">
        <v>22</v>
      </c>
      <c r="E1048" t="s">
        <v>14</v>
      </c>
      <c r="F1048" t="s">
        <v>15</v>
      </c>
      <c r="G1048" t="s">
        <v>16</v>
      </c>
      <c r="H1048">
        <v>5</v>
      </c>
      <c r="I1048" s="3">
        <v>120</v>
      </c>
      <c r="J1048" s="3">
        <v>600</v>
      </c>
      <c r="K1048" t="s">
        <v>35</v>
      </c>
      <c r="L1048" t="s">
        <v>20</v>
      </c>
    </row>
    <row r="1049" spans="1:12" x14ac:dyDescent="0.3">
      <c r="A1049">
        <v>10507</v>
      </c>
      <c r="B1049" s="2">
        <v>45615</v>
      </c>
      <c r="C1049" t="s">
        <v>12</v>
      </c>
      <c r="D1049" t="s">
        <v>13</v>
      </c>
      <c r="E1049" t="s">
        <v>23</v>
      </c>
      <c r="F1049" t="s">
        <v>38</v>
      </c>
      <c r="G1049" t="s">
        <v>43</v>
      </c>
      <c r="H1049">
        <v>3</v>
      </c>
      <c r="I1049" s="3">
        <v>138</v>
      </c>
      <c r="J1049" s="3">
        <v>414</v>
      </c>
      <c r="K1049" t="s">
        <v>30</v>
      </c>
      <c r="L1049" t="s">
        <v>27</v>
      </c>
    </row>
    <row r="1050" spans="1:12" x14ac:dyDescent="0.3">
      <c r="A1050">
        <v>10972</v>
      </c>
      <c r="B1050" s="2">
        <v>45615</v>
      </c>
      <c r="C1050" t="s">
        <v>12</v>
      </c>
      <c r="D1050" t="s">
        <v>42</v>
      </c>
      <c r="E1050" t="s">
        <v>23</v>
      </c>
      <c r="F1050" t="s">
        <v>38</v>
      </c>
      <c r="G1050" t="s">
        <v>43</v>
      </c>
      <c r="H1050">
        <v>5</v>
      </c>
      <c r="I1050" s="3">
        <v>142</v>
      </c>
      <c r="J1050" s="3">
        <v>710</v>
      </c>
      <c r="K1050" t="s">
        <v>30</v>
      </c>
      <c r="L1050" t="s">
        <v>18</v>
      </c>
    </row>
    <row r="1051" spans="1:12" x14ac:dyDescent="0.3">
      <c r="A1051">
        <v>10448</v>
      </c>
      <c r="B1051" s="2">
        <v>45616</v>
      </c>
      <c r="C1051" t="s">
        <v>12</v>
      </c>
      <c r="D1051" t="s">
        <v>26</v>
      </c>
      <c r="E1051" t="s">
        <v>23</v>
      </c>
      <c r="F1051" t="s">
        <v>28</v>
      </c>
      <c r="G1051" t="s">
        <v>36</v>
      </c>
      <c r="H1051">
        <v>4</v>
      </c>
      <c r="I1051" s="3">
        <v>95</v>
      </c>
      <c r="J1051" s="3">
        <v>380</v>
      </c>
      <c r="K1051" t="s">
        <v>25</v>
      </c>
      <c r="L1051" t="s">
        <v>20</v>
      </c>
    </row>
    <row r="1052" spans="1:12" x14ac:dyDescent="0.3">
      <c r="A1052">
        <v>10544</v>
      </c>
      <c r="B1052" s="2">
        <v>45616</v>
      </c>
      <c r="C1052" t="s">
        <v>21</v>
      </c>
      <c r="D1052" t="s">
        <v>26</v>
      </c>
      <c r="E1052" t="s">
        <v>14</v>
      </c>
      <c r="F1052" t="s">
        <v>15</v>
      </c>
      <c r="G1052" t="s">
        <v>19</v>
      </c>
      <c r="H1052">
        <v>3</v>
      </c>
      <c r="I1052" s="3">
        <v>125</v>
      </c>
      <c r="J1052" s="3">
        <v>375</v>
      </c>
      <c r="K1052" t="s">
        <v>17</v>
      </c>
      <c r="L1052" t="s">
        <v>20</v>
      </c>
    </row>
    <row r="1053" spans="1:12" x14ac:dyDescent="0.3">
      <c r="A1053">
        <v>10851</v>
      </c>
      <c r="B1053" s="2">
        <v>45616</v>
      </c>
      <c r="C1053" t="s">
        <v>12</v>
      </c>
      <c r="D1053" t="s">
        <v>31</v>
      </c>
      <c r="E1053" t="s">
        <v>23</v>
      </c>
      <c r="F1053" t="s">
        <v>28</v>
      </c>
      <c r="G1053" t="s">
        <v>29</v>
      </c>
      <c r="H1053">
        <v>1</v>
      </c>
      <c r="I1053" s="3">
        <v>124</v>
      </c>
      <c r="J1053" s="3">
        <v>124</v>
      </c>
      <c r="K1053" t="s">
        <v>17</v>
      </c>
      <c r="L1053" t="s">
        <v>18</v>
      </c>
    </row>
    <row r="1054" spans="1:12" x14ac:dyDescent="0.3">
      <c r="A1054">
        <v>11104</v>
      </c>
      <c r="B1054" s="2">
        <v>45616</v>
      </c>
      <c r="C1054" t="s">
        <v>37</v>
      </c>
      <c r="D1054" t="s">
        <v>13</v>
      </c>
      <c r="E1054" t="s">
        <v>14</v>
      </c>
      <c r="F1054" t="s">
        <v>28</v>
      </c>
      <c r="G1054" t="s">
        <v>36</v>
      </c>
      <c r="H1054">
        <v>2</v>
      </c>
      <c r="I1054" s="3">
        <v>136</v>
      </c>
      <c r="J1054" s="3">
        <v>272</v>
      </c>
      <c r="K1054" t="s">
        <v>32</v>
      </c>
      <c r="L1054" t="s">
        <v>33</v>
      </c>
    </row>
    <row r="1055" spans="1:12" x14ac:dyDescent="0.3">
      <c r="A1055">
        <v>10356</v>
      </c>
      <c r="B1055" s="2">
        <v>45617</v>
      </c>
      <c r="C1055" t="s">
        <v>40</v>
      </c>
      <c r="D1055" t="s">
        <v>26</v>
      </c>
      <c r="E1055" t="s">
        <v>23</v>
      </c>
      <c r="F1055" t="s">
        <v>28</v>
      </c>
      <c r="G1055" t="s">
        <v>29</v>
      </c>
      <c r="H1055">
        <v>3</v>
      </c>
      <c r="I1055" s="3">
        <v>62</v>
      </c>
      <c r="J1055" s="3">
        <v>186</v>
      </c>
      <c r="K1055" t="s">
        <v>25</v>
      </c>
      <c r="L1055" t="s">
        <v>33</v>
      </c>
    </row>
    <row r="1056" spans="1:12" x14ac:dyDescent="0.3">
      <c r="A1056">
        <v>10035</v>
      </c>
      <c r="B1056" s="2">
        <v>45618</v>
      </c>
      <c r="C1056" t="s">
        <v>37</v>
      </c>
      <c r="D1056" t="s">
        <v>13</v>
      </c>
      <c r="E1056" t="s">
        <v>23</v>
      </c>
      <c r="F1056" t="s">
        <v>28</v>
      </c>
      <c r="G1056" t="s">
        <v>34</v>
      </c>
      <c r="H1056">
        <v>3</v>
      </c>
      <c r="I1056" s="3">
        <v>53</v>
      </c>
      <c r="J1056" s="3">
        <v>159</v>
      </c>
      <c r="K1056" t="s">
        <v>17</v>
      </c>
      <c r="L1056" t="s">
        <v>27</v>
      </c>
    </row>
    <row r="1057" spans="1:12" x14ac:dyDescent="0.3">
      <c r="A1057">
        <v>10960</v>
      </c>
      <c r="B1057" s="2">
        <v>45618</v>
      </c>
      <c r="C1057" t="s">
        <v>37</v>
      </c>
      <c r="D1057" t="s">
        <v>31</v>
      </c>
      <c r="E1057" t="s">
        <v>23</v>
      </c>
      <c r="F1057" t="s">
        <v>15</v>
      </c>
      <c r="G1057" t="s">
        <v>19</v>
      </c>
      <c r="H1057">
        <v>2</v>
      </c>
      <c r="I1057" s="3">
        <v>20</v>
      </c>
      <c r="J1057" s="3">
        <v>40</v>
      </c>
      <c r="K1057" t="s">
        <v>25</v>
      </c>
      <c r="L1057" t="s">
        <v>33</v>
      </c>
    </row>
    <row r="1058" spans="1:12" x14ac:dyDescent="0.3">
      <c r="A1058">
        <v>10106</v>
      </c>
      <c r="B1058" s="2">
        <v>45619</v>
      </c>
      <c r="C1058" t="s">
        <v>21</v>
      </c>
      <c r="D1058" t="s">
        <v>26</v>
      </c>
      <c r="E1058" t="s">
        <v>23</v>
      </c>
      <c r="F1058" t="s">
        <v>28</v>
      </c>
      <c r="G1058" t="s">
        <v>29</v>
      </c>
      <c r="H1058">
        <v>3</v>
      </c>
      <c r="I1058" s="3">
        <v>96</v>
      </c>
      <c r="J1058" s="3">
        <v>288</v>
      </c>
      <c r="K1058" t="s">
        <v>35</v>
      </c>
      <c r="L1058" t="s">
        <v>20</v>
      </c>
    </row>
    <row r="1059" spans="1:12" x14ac:dyDescent="0.3">
      <c r="A1059">
        <v>10355</v>
      </c>
      <c r="B1059" s="2">
        <v>45619</v>
      </c>
      <c r="C1059" t="s">
        <v>40</v>
      </c>
      <c r="D1059" t="s">
        <v>42</v>
      </c>
      <c r="E1059" t="s">
        <v>14</v>
      </c>
      <c r="F1059" t="s">
        <v>28</v>
      </c>
      <c r="G1059" t="s">
        <v>36</v>
      </c>
      <c r="H1059">
        <v>3</v>
      </c>
      <c r="I1059" s="3">
        <v>76</v>
      </c>
      <c r="J1059" s="3">
        <v>228</v>
      </c>
      <c r="K1059" t="s">
        <v>35</v>
      </c>
      <c r="L1059" t="s">
        <v>18</v>
      </c>
    </row>
    <row r="1060" spans="1:12" x14ac:dyDescent="0.3">
      <c r="A1060">
        <v>10596</v>
      </c>
      <c r="B1060" s="2">
        <v>45619</v>
      </c>
      <c r="C1060" t="s">
        <v>12</v>
      </c>
      <c r="D1060" t="s">
        <v>26</v>
      </c>
      <c r="E1060" t="s">
        <v>23</v>
      </c>
      <c r="F1060" t="s">
        <v>15</v>
      </c>
      <c r="G1060" t="s">
        <v>24</v>
      </c>
      <c r="H1060">
        <v>2</v>
      </c>
      <c r="I1060" s="3">
        <v>22</v>
      </c>
      <c r="J1060" s="3">
        <v>44</v>
      </c>
      <c r="K1060" t="s">
        <v>25</v>
      </c>
      <c r="L1060" t="s">
        <v>33</v>
      </c>
    </row>
    <row r="1061" spans="1:12" x14ac:dyDescent="0.3">
      <c r="A1061">
        <v>10647</v>
      </c>
      <c r="B1061" s="2">
        <v>45619</v>
      </c>
      <c r="C1061" t="s">
        <v>21</v>
      </c>
      <c r="D1061" t="s">
        <v>26</v>
      </c>
      <c r="E1061" t="s">
        <v>23</v>
      </c>
      <c r="F1061" t="s">
        <v>38</v>
      </c>
      <c r="G1061" t="s">
        <v>39</v>
      </c>
      <c r="H1061">
        <v>4</v>
      </c>
      <c r="I1061" s="3">
        <v>39</v>
      </c>
      <c r="J1061" s="3">
        <v>156</v>
      </c>
      <c r="K1061" t="s">
        <v>35</v>
      </c>
      <c r="L1061" t="s">
        <v>33</v>
      </c>
    </row>
    <row r="1062" spans="1:12" x14ac:dyDescent="0.3">
      <c r="A1062">
        <v>10666</v>
      </c>
      <c r="B1062" s="2">
        <v>45619</v>
      </c>
      <c r="C1062" t="s">
        <v>37</v>
      </c>
      <c r="D1062" t="s">
        <v>22</v>
      </c>
      <c r="E1062" t="s">
        <v>23</v>
      </c>
      <c r="F1062" t="s">
        <v>15</v>
      </c>
      <c r="G1062" t="s">
        <v>16</v>
      </c>
      <c r="H1062">
        <v>2</v>
      </c>
      <c r="I1062" s="3">
        <v>56</v>
      </c>
      <c r="J1062" s="3">
        <v>112</v>
      </c>
      <c r="K1062" t="s">
        <v>30</v>
      </c>
      <c r="L1062" t="s">
        <v>20</v>
      </c>
    </row>
    <row r="1063" spans="1:12" x14ac:dyDescent="0.3">
      <c r="A1063">
        <v>10013</v>
      </c>
      <c r="B1063" s="2">
        <v>45620</v>
      </c>
      <c r="C1063" t="s">
        <v>37</v>
      </c>
      <c r="D1063" t="s">
        <v>31</v>
      </c>
      <c r="E1063" t="s">
        <v>23</v>
      </c>
      <c r="F1063" t="s">
        <v>15</v>
      </c>
      <c r="G1063" t="s">
        <v>16</v>
      </c>
      <c r="H1063">
        <v>1</v>
      </c>
      <c r="I1063" s="3">
        <v>88</v>
      </c>
      <c r="J1063" s="3">
        <v>88</v>
      </c>
      <c r="K1063" t="s">
        <v>30</v>
      </c>
      <c r="L1063" t="s">
        <v>20</v>
      </c>
    </row>
    <row r="1064" spans="1:12" x14ac:dyDescent="0.3">
      <c r="A1064">
        <v>10162</v>
      </c>
      <c r="B1064" s="2">
        <v>45620</v>
      </c>
      <c r="C1064" t="s">
        <v>21</v>
      </c>
      <c r="D1064" t="s">
        <v>26</v>
      </c>
      <c r="E1064" t="s">
        <v>14</v>
      </c>
      <c r="F1064" t="s">
        <v>15</v>
      </c>
      <c r="G1064" t="s">
        <v>16</v>
      </c>
      <c r="H1064">
        <v>3</v>
      </c>
      <c r="I1064" s="3">
        <v>33</v>
      </c>
      <c r="J1064" s="3">
        <v>99</v>
      </c>
      <c r="K1064" t="s">
        <v>17</v>
      </c>
      <c r="L1064" t="s">
        <v>18</v>
      </c>
    </row>
    <row r="1065" spans="1:12" x14ac:dyDescent="0.3">
      <c r="A1065">
        <v>10194</v>
      </c>
      <c r="B1065" s="2">
        <v>45620</v>
      </c>
      <c r="C1065" t="s">
        <v>37</v>
      </c>
      <c r="D1065" t="s">
        <v>42</v>
      </c>
      <c r="E1065" t="s">
        <v>14</v>
      </c>
      <c r="F1065" t="s">
        <v>38</v>
      </c>
      <c r="G1065" t="s">
        <v>43</v>
      </c>
      <c r="H1065">
        <v>5</v>
      </c>
      <c r="I1065" s="3">
        <v>94</v>
      </c>
      <c r="J1065" s="3">
        <v>470</v>
      </c>
      <c r="K1065" t="s">
        <v>30</v>
      </c>
      <c r="L1065" t="s">
        <v>33</v>
      </c>
    </row>
    <row r="1066" spans="1:12" x14ac:dyDescent="0.3">
      <c r="A1066">
        <v>10536</v>
      </c>
      <c r="B1066" s="2">
        <v>45620</v>
      </c>
      <c r="C1066" t="s">
        <v>37</v>
      </c>
      <c r="D1066" t="s">
        <v>31</v>
      </c>
      <c r="E1066" t="s">
        <v>14</v>
      </c>
      <c r="F1066" t="s">
        <v>15</v>
      </c>
      <c r="G1066" t="s">
        <v>19</v>
      </c>
      <c r="H1066">
        <v>3</v>
      </c>
      <c r="I1066" s="3">
        <v>124</v>
      </c>
      <c r="J1066" s="3">
        <v>372</v>
      </c>
      <c r="K1066" t="s">
        <v>17</v>
      </c>
      <c r="L1066" t="s">
        <v>18</v>
      </c>
    </row>
    <row r="1067" spans="1:12" x14ac:dyDescent="0.3">
      <c r="A1067">
        <v>10768</v>
      </c>
      <c r="B1067" s="2">
        <v>45620</v>
      </c>
      <c r="C1067" t="s">
        <v>12</v>
      </c>
      <c r="D1067" t="s">
        <v>31</v>
      </c>
      <c r="E1067" t="s">
        <v>23</v>
      </c>
      <c r="F1067" t="s">
        <v>28</v>
      </c>
      <c r="G1067" t="s">
        <v>36</v>
      </c>
      <c r="H1067">
        <v>2</v>
      </c>
      <c r="I1067" s="3">
        <v>133</v>
      </c>
      <c r="J1067" s="3">
        <v>266</v>
      </c>
      <c r="K1067" t="s">
        <v>32</v>
      </c>
      <c r="L1067" t="s">
        <v>33</v>
      </c>
    </row>
    <row r="1068" spans="1:12" x14ac:dyDescent="0.3">
      <c r="A1068">
        <v>11126</v>
      </c>
      <c r="B1068" s="2">
        <v>45620</v>
      </c>
      <c r="C1068" t="s">
        <v>40</v>
      </c>
      <c r="D1068" t="s">
        <v>26</v>
      </c>
      <c r="E1068" t="s">
        <v>14</v>
      </c>
      <c r="F1068" t="s">
        <v>38</v>
      </c>
      <c r="G1068" t="s">
        <v>39</v>
      </c>
      <c r="H1068">
        <v>4</v>
      </c>
      <c r="I1068" s="3">
        <v>146</v>
      </c>
      <c r="J1068" s="3">
        <v>584</v>
      </c>
      <c r="K1068" t="s">
        <v>25</v>
      </c>
      <c r="L1068" t="s">
        <v>20</v>
      </c>
    </row>
    <row r="1069" spans="1:12" x14ac:dyDescent="0.3">
      <c r="A1069">
        <v>10172</v>
      </c>
      <c r="B1069" s="2">
        <v>45621</v>
      </c>
      <c r="C1069" t="s">
        <v>12</v>
      </c>
      <c r="D1069" t="s">
        <v>42</v>
      </c>
      <c r="E1069" t="s">
        <v>23</v>
      </c>
      <c r="F1069" t="s">
        <v>28</v>
      </c>
      <c r="G1069" t="s">
        <v>34</v>
      </c>
      <c r="H1069">
        <v>3</v>
      </c>
      <c r="I1069" s="3">
        <v>106</v>
      </c>
      <c r="J1069" s="3">
        <v>318</v>
      </c>
      <c r="K1069" t="s">
        <v>32</v>
      </c>
      <c r="L1069" t="s">
        <v>20</v>
      </c>
    </row>
    <row r="1070" spans="1:12" x14ac:dyDescent="0.3">
      <c r="A1070">
        <v>10966</v>
      </c>
      <c r="B1070" s="2">
        <v>45621</v>
      </c>
      <c r="C1070" t="s">
        <v>37</v>
      </c>
      <c r="D1070" t="s">
        <v>42</v>
      </c>
      <c r="E1070" t="s">
        <v>23</v>
      </c>
      <c r="F1070" t="s">
        <v>28</v>
      </c>
      <c r="G1070" t="s">
        <v>36</v>
      </c>
      <c r="H1070">
        <v>5</v>
      </c>
      <c r="I1070" s="3">
        <v>36</v>
      </c>
      <c r="J1070" s="3">
        <v>180</v>
      </c>
      <c r="K1070" t="s">
        <v>17</v>
      </c>
      <c r="L1070" t="s">
        <v>27</v>
      </c>
    </row>
    <row r="1071" spans="1:12" x14ac:dyDescent="0.3">
      <c r="A1071">
        <v>10151</v>
      </c>
      <c r="B1071" s="2">
        <v>45622</v>
      </c>
      <c r="C1071" t="s">
        <v>12</v>
      </c>
      <c r="D1071" t="s">
        <v>31</v>
      </c>
      <c r="E1071" t="s">
        <v>14</v>
      </c>
      <c r="F1071" t="s">
        <v>28</v>
      </c>
      <c r="G1071" t="s">
        <v>29</v>
      </c>
      <c r="H1071">
        <v>1</v>
      </c>
      <c r="I1071" s="3">
        <v>149</v>
      </c>
      <c r="J1071" s="3">
        <v>149</v>
      </c>
      <c r="K1071" t="s">
        <v>30</v>
      </c>
      <c r="L1071" t="s">
        <v>27</v>
      </c>
    </row>
    <row r="1072" spans="1:12" x14ac:dyDescent="0.3">
      <c r="A1072">
        <v>10156</v>
      </c>
      <c r="B1072" s="2">
        <v>45622</v>
      </c>
      <c r="C1072" t="s">
        <v>21</v>
      </c>
      <c r="D1072" t="s">
        <v>22</v>
      </c>
      <c r="E1072" t="s">
        <v>23</v>
      </c>
      <c r="F1072" t="s">
        <v>15</v>
      </c>
      <c r="G1072" t="s">
        <v>24</v>
      </c>
      <c r="H1072">
        <v>5</v>
      </c>
      <c r="I1072" s="3">
        <v>43</v>
      </c>
      <c r="J1072" s="3">
        <v>215</v>
      </c>
      <c r="K1072" t="s">
        <v>25</v>
      </c>
      <c r="L1072" t="s">
        <v>33</v>
      </c>
    </row>
    <row r="1073" spans="1:12" x14ac:dyDescent="0.3">
      <c r="A1073">
        <v>10670</v>
      </c>
      <c r="B1073" s="2">
        <v>45622</v>
      </c>
      <c r="C1073" t="s">
        <v>37</v>
      </c>
      <c r="D1073" t="s">
        <v>26</v>
      </c>
      <c r="E1073" t="s">
        <v>14</v>
      </c>
      <c r="F1073" t="s">
        <v>28</v>
      </c>
      <c r="G1073" t="s">
        <v>34</v>
      </c>
      <c r="H1073">
        <v>1</v>
      </c>
      <c r="I1073" s="3">
        <v>33</v>
      </c>
      <c r="J1073" s="3">
        <v>33</v>
      </c>
      <c r="K1073" t="s">
        <v>30</v>
      </c>
      <c r="L1073" t="s">
        <v>33</v>
      </c>
    </row>
    <row r="1074" spans="1:12" x14ac:dyDescent="0.3">
      <c r="A1074">
        <v>10842</v>
      </c>
      <c r="B1074" s="2">
        <v>45622</v>
      </c>
      <c r="C1074" t="s">
        <v>40</v>
      </c>
      <c r="D1074" t="s">
        <v>13</v>
      </c>
      <c r="E1074" t="s">
        <v>14</v>
      </c>
      <c r="F1074" t="s">
        <v>15</v>
      </c>
      <c r="G1074" t="s">
        <v>16</v>
      </c>
      <c r="H1074">
        <v>4</v>
      </c>
      <c r="I1074" s="3">
        <v>91</v>
      </c>
      <c r="J1074" s="3">
        <v>364</v>
      </c>
      <c r="K1074" t="s">
        <v>17</v>
      </c>
      <c r="L1074" t="s">
        <v>33</v>
      </c>
    </row>
    <row r="1075" spans="1:12" x14ac:dyDescent="0.3">
      <c r="A1075">
        <v>10858</v>
      </c>
      <c r="B1075" s="2">
        <v>45622</v>
      </c>
      <c r="C1075" t="s">
        <v>40</v>
      </c>
      <c r="D1075" t="s">
        <v>22</v>
      </c>
      <c r="E1075" t="s">
        <v>23</v>
      </c>
      <c r="F1075" t="s">
        <v>15</v>
      </c>
      <c r="G1075" t="s">
        <v>19</v>
      </c>
      <c r="H1075">
        <v>1</v>
      </c>
      <c r="I1075" s="3">
        <v>54</v>
      </c>
      <c r="J1075" s="3">
        <v>54</v>
      </c>
      <c r="K1075" t="s">
        <v>25</v>
      </c>
      <c r="L1075" t="s">
        <v>18</v>
      </c>
    </row>
    <row r="1076" spans="1:12" x14ac:dyDescent="0.3">
      <c r="A1076">
        <v>10343</v>
      </c>
      <c r="B1076" s="2">
        <v>45623</v>
      </c>
      <c r="C1076" t="s">
        <v>37</v>
      </c>
      <c r="D1076" t="s">
        <v>42</v>
      </c>
      <c r="E1076" t="s">
        <v>23</v>
      </c>
      <c r="F1076" t="s">
        <v>28</v>
      </c>
      <c r="G1076" t="s">
        <v>34</v>
      </c>
      <c r="H1076">
        <v>5</v>
      </c>
      <c r="I1076" s="3">
        <v>82</v>
      </c>
      <c r="J1076" s="3">
        <v>410</v>
      </c>
      <c r="K1076" t="s">
        <v>17</v>
      </c>
      <c r="L1076" t="s">
        <v>27</v>
      </c>
    </row>
    <row r="1077" spans="1:12" x14ac:dyDescent="0.3">
      <c r="A1077">
        <v>10383</v>
      </c>
      <c r="B1077" s="2">
        <v>45623</v>
      </c>
      <c r="C1077" t="s">
        <v>12</v>
      </c>
      <c r="D1077" t="s">
        <v>22</v>
      </c>
      <c r="E1077" t="s">
        <v>14</v>
      </c>
      <c r="F1077" t="s">
        <v>15</v>
      </c>
      <c r="G1077" t="s">
        <v>16</v>
      </c>
      <c r="H1077">
        <v>4</v>
      </c>
      <c r="I1077" s="3">
        <v>53</v>
      </c>
      <c r="J1077" s="3">
        <v>212</v>
      </c>
      <c r="K1077" t="s">
        <v>32</v>
      </c>
      <c r="L1077" t="s">
        <v>33</v>
      </c>
    </row>
    <row r="1078" spans="1:12" x14ac:dyDescent="0.3">
      <c r="A1078">
        <v>10431</v>
      </c>
      <c r="B1078" s="2">
        <v>45623</v>
      </c>
      <c r="C1078" t="s">
        <v>21</v>
      </c>
      <c r="D1078" t="s">
        <v>13</v>
      </c>
      <c r="E1078" t="s">
        <v>23</v>
      </c>
      <c r="F1078" t="s">
        <v>28</v>
      </c>
      <c r="G1078" t="s">
        <v>36</v>
      </c>
      <c r="H1078">
        <v>5</v>
      </c>
      <c r="I1078" s="3">
        <v>77</v>
      </c>
      <c r="J1078" s="3">
        <v>385</v>
      </c>
      <c r="K1078" t="s">
        <v>25</v>
      </c>
      <c r="L1078" t="s">
        <v>27</v>
      </c>
    </row>
    <row r="1079" spans="1:12" x14ac:dyDescent="0.3">
      <c r="A1079">
        <v>10682</v>
      </c>
      <c r="B1079" s="2">
        <v>45623</v>
      </c>
      <c r="C1079" t="s">
        <v>40</v>
      </c>
      <c r="D1079" t="s">
        <v>31</v>
      </c>
      <c r="E1079" t="s">
        <v>23</v>
      </c>
      <c r="F1079" t="s">
        <v>28</v>
      </c>
      <c r="G1079" t="s">
        <v>29</v>
      </c>
      <c r="H1079">
        <v>3</v>
      </c>
      <c r="I1079" s="3">
        <v>81</v>
      </c>
      <c r="J1079" s="3">
        <v>243</v>
      </c>
      <c r="K1079" t="s">
        <v>35</v>
      </c>
      <c r="L1079" t="s">
        <v>20</v>
      </c>
    </row>
    <row r="1080" spans="1:12" x14ac:dyDescent="0.3">
      <c r="A1080">
        <v>10934</v>
      </c>
      <c r="B1080" s="2">
        <v>45623</v>
      </c>
      <c r="C1080" t="s">
        <v>37</v>
      </c>
      <c r="D1080" t="s">
        <v>31</v>
      </c>
      <c r="E1080" t="s">
        <v>14</v>
      </c>
      <c r="F1080" t="s">
        <v>15</v>
      </c>
      <c r="G1080" t="s">
        <v>16</v>
      </c>
      <c r="H1080">
        <v>5</v>
      </c>
      <c r="I1080" s="3">
        <v>126</v>
      </c>
      <c r="J1080" s="3">
        <v>630</v>
      </c>
      <c r="K1080" t="s">
        <v>35</v>
      </c>
      <c r="L1080" t="s">
        <v>33</v>
      </c>
    </row>
    <row r="1081" spans="1:12" x14ac:dyDescent="0.3">
      <c r="A1081">
        <v>10100</v>
      </c>
      <c r="B1081" s="2">
        <v>45624</v>
      </c>
      <c r="C1081" t="s">
        <v>40</v>
      </c>
      <c r="D1081" t="s">
        <v>26</v>
      </c>
      <c r="E1081" t="s">
        <v>23</v>
      </c>
      <c r="F1081" t="s">
        <v>38</v>
      </c>
      <c r="G1081" t="s">
        <v>39</v>
      </c>
      <c r="H1081">
        <v>5</v>
      </c>
      <c r="I1081" s="3">
        <v>121</v>
      </c>
      <c r="J1081" s="3">
        <v>605</v>
      </c>
      <c r="K1081" t="s">
        <v>35</v>
      </c>
      <c r="L1081" t="s">
        <v>27</v>
      </c>
    </row>
    <row r="1082" spans="1:12" x14ac:dyDescent="0.3">
      <c r="A1082">
        <v>10115</v>
      </c>
      <c r="B1082" s="2">
        <v>45624</v>
      </c>
      <c r="C1082" t="s">
        <v>21</v>
      </c>
      <c r="D1082" t="s">
        <v>31</v>
      </c>
      <c r="E1082" t="s">
        <v>14</v>
      </c>
      <c r="F1082" t="s">
        <v>15</v>
      </c>
      <c r="G1082" t="s">
        <v>16</v>
      </c>
      <c r="H1082">
        <v>4</v>
      </c>
      <c r="I1082" s="3">
        <v>97</v>
      </c>
      <c r="J1082" s="3">
        <v>388</v>
      </c>
      <c r="K1082" t="s">
        <v>25</v>
      </c>
      <c r="L1082" t="s">
        <v>18</v>
      </c>
    </row>
    <row r="1083" spans="1:12" x14ac:dyDescent="0.3">
      <c r="A1083">
        <v>10165</v>
      </c>
      <c r="B1083" s="2">
        <v>45624</v>
      </c>
      <c r="C1083" t="s">
        <v>37</v>
      </c>
      <c r="D1083" t="s">
        <v>13</v>
      </c>
      <c r="E1083" t="s">
        <v>14</v>
      </c>
      <c r="F1083" t="s">
        <v>28</v>
      </c>
      <c r="G1083" t="s">
        <v>34</v>
      </c>
      <c r="H1083">
        <v>3</v>
      </c>
      <c r="I1083" s="3">
        <v>45</v>
      </c>
      <c r="J1083" s="3">
        <v>135</v>
      </c>
      <c r="K1083" t="s">
        <v>25</v>
      </c>
      <c r="L1083" t="s">
        <v>33</v>
      </c>
    </row>
    <row r="1084" spans="1:12" x14ac:dyDescent="0.3">
      <c r="A1084">
        <v>11139</v>
      </c>
      <c r="B1084" s="2">
        <v>45624</v>
      </c>
      <c r="C1084" t="s">
        <v>21</v>
      </c>
      <c r="D1084" t="s">
        <v>42</v>
      </c>
      <c r="E1084" t="s">
        <v>14</v>
      </c>
      <c r="F1084" t="s">
        <v>38</v>
      </c>
      <c r="G1084" t="s">
        <v>39</v>
      </c>
      <c r="H1084">
        <v>1</v>
      </c>
      <c r="I1084" s="3">
        <v>32</v>
      </c>
      <c r="J1084" s="3">
        <v>32</v>
      </c>
      <c r="K1084" t="s">
        <v>35</v>
      </c>
      <c r="L1084" t="s">
        <v>20</v>
      </c>
    </row>
    <row r="1085" spans="1:12" x14ac:dyDescent="0.3">
      <c r="A1085">
        <v>11193</v>
      </c>
      <c r="B1085" s="2">
        <v>45624</v>
      </c>
      <c r="C1085" t="s">
        <v>37</v>
      </c>
      <c r="D1085" t="s">
        <v>42</v>
      </c>
      <c r="E1085" t="s">
        <v>23</v>
      </c>
      <c r="F1085" t="s">
        <v>28</v>
      </c>
      <c r="G1085" t="s">
        <v>29</v>
      </c>
      <c r="H1085">
        <v>5</v>
      </c>
      <c r="I1085" s="3">
        <v>77</v>
      </c>
      <c r="J1085" s="3">
        <v>385</v>
      </c>
      <c r="K1085" t="s">
        <v>35</v>
      </c>
      <c r="L1085" t="s">
        <v>20</v>
      </c>
    </row>
    <row r="1086" spans="1:12" x14ac:dyDescent="0.3">
      <c r="A1086">
        <v>10193</v>
      </c>
      <c r="B1086" s="2">
        <v>45625</v>
      </c>
      <c r="C1086" t="s">
        <v>12</v>
      </c>
      <c r="D1086" t="s">
        <v>22</v>
      </c>
      <c r="E1086" t="s">
        <v>23</v>
      </c>
      <c r="F1086" t="s">
        <v>28</v>
      </c>
      <c r="G1086" t="s">
        <v>36</v>
      </c>
      <c r="H1086">
        <v>5</v>
      </c>
      <c r="I1086" s="3">
        <v>87</v>
      </c>
      <c r="J1086" s="3">
        <v>435</v>
      </c>
      <c r="K1086" t="s">
        <v>17</v>
      </c>
      <c r="L1086" t="s">
        <v>18</v>
      </c>
    </row>
    <row r="1087" spans="1:12" x14ac:dyDescent="0.3">
      <c r="A1087">
        <v>10750</v>
      </c>
      <c r="B1087" s="2">
        <v>45625</v>
      </c>
      <c r="C1087" t="s">
        <v>37</v>
      </c>
      <c r="D1087" t="s">
        <v>22</v>
      </c>
      <c r="E1087" t="s">
        <v>23</v>
      </c>
      <c r="F1087" t="s">
        <v>38</v>
      </c>
      <c r="G1087" t="s">
        <v>41</v>
      </c>
      <c r="H1087">
        <v>3</v>
      </c>
      <c r="I1087" s="3">
        <v>39</v>
      </c>
      <c r="J1087" s="3">
        <v>117</v>
      </c>
      <c r="K1087" t="s">
        <v>30</v>
      </c>
      <c r="L1087" t="s">
        <v>33</v>
      </c>
    </row>
    <row r="1088" spans="1:12" x14ac:dyDescent="0.3">
      <c r="A1088">
        <v>10458</v>
      </c>
      <c r="B1088" s="2">
        <v>45626</v>
      </c>
      <c r="C1088" t="s">
        <v>12</v>
      </c>
      <c r="D1088" t="s">
        <v>26</v>
      </c>
      <c r="E1088" t="s">
        <v>23</v>
      </c>
      <c r="F1088" t="s">
        <v>28</v>
      </c>
      <c r="G1088" t="s">
        <v>36</v>
      </c>
      <c r="H1088">
        <v>3</v>
      </c>
      <c r="I1088" s="3">
        <v>140</v>
      </c>
      <c r="J1088" s="3">
        <v>420</v>
      </c>
      <c r="K1088" t="s">
        <v>32</v>
      </c>
      <c r="L1088" t="s">
        <v>33</v>
      </c>
    </row>
    <row r="1089" spans="1:12" x14ac:dyDescent="0.3">
      <c r="A1089">
        <v>10551</v>
      </c>
      <c r="B1089" s="2">
        <v>45626</v>
      </c>
      <c r="C1089" t="s">
        <v>40</v>
      </c>
      <c r="D1089" t="s">
        <v>42</v>
      </c>
      <c r="E1089" t="s">
        <v>14</v>
      </c>
      <c r="F1089" t="s">
        <v>38</v>
      </c>
      <c r="G1089" t="s">
        <v>39</v>
      </c>
      <c r="H1089">
        <v>1</v>
      </c>
      <c r="I1089" s="3">
        <v>78</v>
      </c>
      <c r="J1089" s="3">
        <v>78</v>
      </c>
      <c r="K1089" t="s">
        <v>35</v>
      </c>
      <c r="L1089" t="s">
        <v>18</v>
      </c>
    </row>
    <row r="1090" spans="1:12" x14ac:dyDescent="0.3">
      <c r="A1090">
        <v>10980</v>
      </c>
      <c r="B1090" s="2">
        <v>45626</v>
      </c>
      <c r="C1090" t="s">
        <v>21</v>
      </c>
      <c r="D1090" t="s">
        <v>31</v>
      </c>
      <c r="E1090" t="s">
        <v>23</v>
      </c>
      <c r="F1090" t="s">
        <v>38</v>
      </c>
      <c r="G1090" t="s">
        <v>39</v>
      </c>
      <c r="H1090">
        <v>3</v>
      </c>
      <c r="I1090" s="3">
        <v>64</v>
      </c>
      <c r="J1090" s="3">
        <v>192</v>
      </c>
      <c r="K1090" t="s">
        <v>30</v>
      </c>
      <c r="L1090" t="s">
        <v>33</v>
      </c>
    </row>
    <row r="1091" spans="1:12" x14ac:dyDescent="0.3">
      <c r="A1091">
        <v>10117</v>
      </c>
      <c r="B1091" s="2">
        <v>45627</v>
      </c>
      <c r="C1091" t="s">
        <v>40</v>
      </c>
      <c r="D1091" t="s">
        <v>42</v>
      </c>
      <c r="E1091" t="s">
        <v>23</v>
      </c>
      <c r="F1091" t="s">
        <v>15</v>
      </c>
      <c r="G1091" t="s">
        <v>24</v>
      </c>
      <c r="H1091">
        <v>2</v>
      </c>
      <c r="I1091" s="3">
        <v>126</v>
      </c>
      <c r="J1091" s="3">
        <v>252</v>
      </c>
      <c r="K1091" t="s">
        <v>35</v>
      </c>
      <c r="L1091" t="s">
        <v>18</v>
      </c>
    </row>
    <row r="1092" spans="1:12" x14ac:dyDescent="0.3">
      <c r="A1092">
        <v>10298</v>
      </c>
      <c r="B1092" s="2">
        <v>45627</v>
      </c>
      <c r="C1092" t="s">
        <v>12</v>
      </c>
      <c r="D1092" t="s">
        <v>13</v>
      </c>
      <c r="E1092" t="s">
        <v>14</v>
      </c>
      <c r="F1092" t="s">
        <v>28</v>
      </c>
      <c r="G1092" t="s">
        <v>29</v>
      </c>
      <c r="H1092">
        <v>1</v>
      </c>
      <c r="I1092" s="3">
        <v>90</v>
      </c>
      <c r="J1092" s="3">
        <v>90</v>
      </c>
      <c r="K1092" t="s">
        <v>32</v>
      </c>
      <c r="L1092" t="s">
        <v>33</v>
      </c>
    </row>
    <row r="1093" spans="1:12" x14ac:dyDescent="0.3">
      <c r="A1093">
        <v>10951</v>
      </c>
      <c r="B1093" s="2">
        <v>45627</v>
      </c>
      <c r="C1093" t="s">
        <v>37</v>
      </c>
      <c r="D1093" t="s">
        <v>42</v>
      </c>
      <c r="E1093" t="s">
        <v>14</v>
      </c>
      <c r="F1093" t="s">
        <v>28</v>
      </c>
      <c r="G1093" t="s">
        <v>34</v>
      </c>
      <c r="H1093">
        <v>4</v>
      </c>
      <c r="I1093" s="3">
        <v>126</v>
      </c>
      <c r="J1093" s="3">
        <v>504</v>
      </c>
      <c r="K1093" t="s">
        <v>32</v>
      </c>
      <c r="L1093" t="s">
        <v>33</v>
      </c>
    </row>
    <row r="1094" spans="1:12" x14ac:dyDescent="0.3">
      <c r="A1094">
        <v>11051</v>
      </c>
      <c r="B1094" s="2">
        <v>45627</v>
      </c>
      <c r="C1094" t="s">
        <v>12</v>
      </c>
      <c r="D1094" t="s">
        <v>26</v>
      </c>
      <c r="E1094" t="s">
        <v>14</v>
      </c>
      <c r="F1094" t="s">
        <v>15</v>
      </c>
      <c r="G1094" t="s">
        <v>16</v>
      </c>
      <c r="H1094">
        <v>1</v>
      </c>
      <c r="I1094" s="3">
        <v>58</v>
      </c>
      <c r="J1094" s="3">
        <v>58</v>
      </c>
      <c r="K1094" t="s">
        <v>30</v>
      </c>
      <c r="L1094" t="s">
        <v>27</v>
      </c>
    </row>
    <row r="1095" spans="1:12" x14ac:dyDescent="0.3">
      <c r="A1095">
        <v>10634</v>
      </c>
      <c r="B1095" s="2">
        <v>45628</v>
      </c>
      <c r="C1095" t="s">
        <v>37</v>
      </c>
      <c r="D1095" t="s">
        <v>22</v>
      </c>
      <c r="E1095" t="s">
        <v>14</v>
      </c>
      <c r="F1095" t="s">
        <v>15</v>
      </c>
      <c r="G1095" t="s">
        <v>16</v>
      </c>
      <c r="H1095">
        <v>5</v>
      </c>
      <c r="I1095" s="3">
        <v>33</v>
      </c>
      <c r="J1095" s="3">
        <v>165</v>
      </c>
      <c r="K1095" t="s">
        <v>35</v>
      </c>
      <c r="L1095" t="s">
        <v>27</v>
      </c>
    </row>
    <row r="1096" spans="1:12" x14ac:dyDescent="0.3">
      <c r="A1096">
        <v>10987</v>
      </c>
      <c r="B1096" s="2">
        <v>45628</v>
      </c>
      <c r="C1096" t="s">
        <v>40</v>
      </c>
      <c r="D1096" t="s">
        <v>13</v>
      </c>
      <c r="E1096" t="s">
        <v>23</v>
      </c>
      <c r="F1096" t="s">
        <v>38</v>
      </c>
      <c r="G1096" t="s">
        <v>43</v>
      </c>
      <c r="H1096">
        <v>2</v>
      </c>
      <c r="I1096" s="3">
        <v>128</v>
      </c>
      <c r="J1096" s="3">
        <v>256</v>
      </c>
      <c r="K1096" t="s">
        <v>25</v>
      </c>
      <c r="L1096" t="s">
        <v>33</v>
      </c>
    </row>
    <row r="1097" spans="1:12" x14ac:dyDescent="0.3">
      <c r="A1097">
        <v>10192</v>
      </c>
      <c r="B1097" s="2">
        <v>45629</v>
      </c>
      <c r="C1097" t="s">
        <v>37</v>
      </c>
      <c r="D1097" t="s">
        <v>22</v>
      </c>
      <c r="E1097" t="s">
        <v>14</v>
      </c>
      <c r="F1097" t="s">
        <v>15</v>
      </c>
      <c r="G1097" t="s">
        <v>24</v>
      </c>
      <c r="H1097">
        <v>2</v>
      </c>
      <c r="I1097" s="3">
        <v>63</v>
      </c>
      <c r="J1097" s="3">
        <v>126</v>
      </c>
      <c r="K1097" t="s">
        <v>25</v>
      </c>
      <c r="L1097" t="s">
        <v>18</v>
      </c>
    </row>
    <row r="1098" spans="1:12" x14ac:dyDescent="0.3">
      <c r="A1098">
        <v>10535</v>
      </c>
      <c r="B1098" s="2">
        <v>45629</v>
      </c>
      <c r="C1098" t="s">
        <v>21</v>
      </c>
      <c r="D1098" t="s">
        <v>13</v>
      </c>
      <c r="E1098" t="s">
        <v>23</v>
      </c>
      <c r="F1098" t="s">
        <v>15</v>
      </c>
      <c r="G1098" t="s">
        <v>16</v>
      </c>
      <c r="H1098">
        <v>3</v>
      </c>
      <c r="I1098" s="3">
        <v>36</v>
      </c>
      <c r="J1098" s="3">
        <v>108</v>
      </c>
      <c r="K1098" t="s">
        <v>17</v>
      </c>
      <c r="L1098" t="s">
        <v>20</v>
      </c>
    </row>
    <row r="1099" spans="1:12" x14ac:dyDescent="0.3">
      <c r="A1099">
        <v>10722</v>
      </c>
      <c r="B1099" s="2">
        <v>45629</v>
      </c>
      <c r="C1099" t="s">
        <v>40</v>
      </c>
      <c r="D1099" t="s">
        <v>42</v>
      </c>
      <c r="E1099" t="s">
        <v>14</v>
      </c>
      <c r="F1099" t="s">
        <v>28</v>
      </c>
      <c r="G1099" t="s">
        <v>34</v>
      </c>
      <c r="H1099">
        <v>1</v>
      </c>
      <c r="I1099" s="3">
        <v>28</v>
      </c>
      <c r="J1099" s="3">
        <v>28</v>
      </c>
      <c r="K1099" t="s">
        <v>35</v>
      </c>
      <c r="L1099" t="s">
        <v>18</v>
      </c>
    </row>
    <row r="1100" spans="1:12" x14ac:dyDescent="0.3">
      <c r="A1100">
        <v>11109</v>
      </c>
      <c r="B1100" s="2">
        <v>45629</v>
      </c>
      <c r="C1100" t="s">
        <v>40</v>
      </c>
      <c r="D1100" t="s">
        <v>31</v>
      </c>
      <c r="E1100" t="s">
        <v>23</v>
      </c>
      <c r="F1100" t="s">
        <v>28</v>
      </c>
      <c r="G1100" t="s">
        <v>29</v>
      </c>
      <c r="H1100">
        <v>1</v>
      </c>
      <c r="I1100" s="3">
        <v>65</v>
      </c>
      <c r="J1100" s="3">
        <v>65</v>
      </c>
      <c r="K1100" t="s">
        <v>35</v>
      </c>
      <c r="L1100" t="s">
        <v>27</v>
      </c>
    </row>
    <row r="1101" spans="1:12" x14ac:dyDescent="0.3">
      <c r="A1101">
        <v>11132</v>
      </c>
      <c r="B1101" s="2">
        <v>45629</v>
      </c>
      <c r="C1101" t="s">
        <v>12</v>
      </c>
      <c r="D1101" t="s">
        <v>31</v>
      </c>
      <c r="E1101" t="s">
        <v>14</v>
      </c>
      <c r="F1101" t="s">
        <v>15</v>
      </c>
      <c r="G1101" t="s">
        <v>16</v>
      </c>
      <c r="H1101">
        <v>3</v>
      </c>
      <c r="I1101" s="3">
        <v>82</v>
      </c>
      <c r="J1101" s="3">
        <v>246</v>
      </c>
      <c r="K1101" t="s">
        <v>30</v>
      </c>
      <c r="L1101" t="s">
        <v>18</v>
      </c>
    </row>
    <row r="1102" spans="1:12" x14ac:dyDescent="0.3">
      <c r="A1102">
        <v>11177</v>
      </c>
      <c r="B1102" s="2">
        <v>45629</v>
      </c>
      <c r="C1102" t="s">
        <v>37</v>
      </c>
      <c r="D1102" t="s">
        <v>42</v>
      </c>
      <c r="E1102" t="s">
        <v>14</v>
      </c>
      <c r="F1102" t="s">
        <v>38</v>
      </c>
      <c r="G1102" t="s">
        <v>43</v>
      </c>
      <c r="H1102">
        <v>2</v>
      </c>
      <c r="I1102" s="3">
        <v>91</v>
      </c>
      <c r="J1102" s="3">
        <v>182</v>
      </c>
      <c r="K1102" t="s">
        <v>30</v>
      </c>
      <c r="L1102" t="s">
        <v>27</v>
      </c>
    </row>
    <row r="1103" spans="1:12" x14ac:dyDescent="0.3">
      <c r="A1103">
        <v>11178</v>
      </c>
      <c r="B1103" s="2">
        <v>45629</v>
      </c>
      <c r="C1103" t="s">
        <v>37</v>
      </c>
      <c r="D1103" t="s">
        <v>13</v>
      </c>
      <c r="E1103" t="s">
        <v>23</v>
      </c>
      <c r="F1103" t="s">
        <v>38</v>
      </c>
      <c r="G1103" t="s">
        <v>43</v>
      </c>
      <c r="H1103">
        <v>2</v>
      </c>
      <c r="I1103" s="3">
        <v>149</v>
      </c>
      <c r="J1103" s="3">
        <v>298</v>
      </c>
      <c r="K1103" t="s">
        <v>17</v>
      </c>
      <c r="L1103" t="s">
        <v>33</v>
      </c>
    </row>
    <row r="1104" spans="1:12" x14ac:dyDescent="0.3">
      <c r="A1104">
        <v>10158</v>
      </c>
      <c r="B1104" s="2">
        <v>45630</v>
      </c>
      <c r="C1104" t="s">
        <v>37</v>
      </c>
      <c r="D1104" t="s">
        <v>22</v>
      </c>
      <c r="E1104" t="s">
        <v>14</v>
      </c>
      <c r="F1104" t="s">
        <v>38</v>
      </c>
      <c r="G1104" t="s">
        <v>41</v>
      </c>
      <c r="H1104">
        <v>5</v>
      </c>
      <c r="I1104" s="3">
        <v>29</v>
      </c>
      <c r="J1104" s="3">
        <v>145</v>
      </c>
      <c r="K1104" t="s">
        <v>17</v>
      </c>
      <c r="L1104" t="s">
        <v>27</v>
      </c>
    </row>
    <row r="1105" spans="1:12" x14ac:dyDescent="0.3">
      <c r="A1105">
        <v>10447</v>
      </c>
      <c r="B1105" s="2">
        <v>45630</v>
      </c>
      <c r="C1105" t="s">
        <v>40</v>
      </c>
      <c r="D1105" t="s">
        <v>42</v>
      </c>
      <c r="E1105" t="s">
        <v>14</v>
      </c>
      <c r="F1105" t="s">
        <v>38</v>
      </c>
      <c r="G1105" t="s">
        <v>39</v>
      </c>
      <c r="H1105">
        <v>4</v>
      </c>
      <c r="I1105" s="3">
        <v>121</v>
      </c>
      <c r="J1105" s="3">
        <v>484</v>
      </c>
      <c r="K1105" t="s">
        <v>17</v>
      </c>
      <c r="L1105" t="s">
        <v>20</v>
      </c>
    </row>
    <row r="1106" spans="1:12" x14ac:dyDescent="0.3">
      <c r="A1106">
        <v>10469</v>
      </c>
      <c r="B1106" s="2">
        <v>45630</v>
      </c>
      <c r="C1106" t="s">
        <v>37</v>
      </c>
      <c r="D1106" t="s">
        <v>31</v>
      </c>
      <c r="E1106" t="s">
        <v>14</v>
      </c>
      <c r="F1106" t="s">
        <v>15</v>
      </c>
      <c r="G1106" t="s">
        <v>19</v>
      </c>
      <c r="H1106">
        <v>5</v>
      </c>
      <c r="I1106" s="3">
        <v>24</v>
      </c>
      <c r="J1106" s="3">
        <v>120</v>
      </c>
      <c r="K1106" t="s">
        <v>30</v>
      </c>
      <c r="L1106" t="s">
        <v>27</v>
      </c>
    </row>
    <row r="1107" spans="1:12" x14ac:dyDescent="0.3">
      <c r="A1107">
        <v>10638</v>
      </c>
      <c r="B1107" s="2">
        <v>45630</v>
      </c>
      <c r="C1107" t="s">
        <v>21</v>
      </c>
      <c r="D1107" t="s">
        <v>13</v>
      </c>
      <c r="E1107" t="s">
        <v>14</v>
      </c>
      <c r="F1107" t="s">
        <v>38</v>
      </c>
      <c r="G1107" t="s">
        <v>39</v>
      </c>
      <c r="H1107">
        <v>4</v>
      </c>
      <c r="I1107" s="3">
        <v>80</v>
      </c>
      <c r="J1107" s="3">
        <v>320</v>
      </c>
      <c r="K1107" t="s">
        <v>17</v>
      </c>
      <c r="L1107" t="s">
        <v>33</v>
      </c>
    </row>
    <row r="1108" spans="1:12" x14ac:dyDescent="0.3">
      <c r="A1108">
        <v>11157</v>
      </c>
      <c r="B1108" s="2">
        <v>45630</v>
      </c>
      <c r="C1108" t="s">
        <v>40</v>
      </c>
      <c r="D1108" t="s">
        <v>31</v>
      </c>
      <c r="E1108" t="s">
        <v>23</v>
      </c>
      <c r="F1108" t="s">
        <v>38</v>
      </c>
      <c r="G1108" t="s">
        <v>41</v>
      </c>
      <c r="H1108">
        <v>4</v>
      </c>
      <c r="I1108" s="3">
        <v>110</v>
      </c>
      <c r="J1108" s="3">
        <v>440</v>
      </c>
      <c r="K1108" t="s">
        <v>32</v>
      </c>
      <c r="L1108" t="s">
        <v>33</v>
      </c>
    </row>
    <row r="1109" spans="1:12" x14ac:dyDescent="0.3">
      <c r="A1109">
        <v>10333</v>
      </c>
      <c r="B1109" s="2">
        <v>45631</v>
      </c>
      <c r="C1109" t="s">
        <v>12</v>
      </c>
      <c r="D1109" t="s">
        <v>13</v>
      </c>
      <c r="E1109" t="s">
        <v>23</v>
      </c>
      <c r="F1109" t="s">
        <v>15</v>
      </c>
      <c r="G1109" t="s">
        <v>24</v>
      </c>
      <c r="H1109">
        <v>1</v>
      </c>
      <c r="I1109" s="3">
        <v>131</v>
      </c>
      <c r="J1109" s="3">
        <v>131</v>
      </c>
      <c r="K1109" t="s">
        <v>35</v>
      </c>
      <c r="L1109" t="s">
        <v>33</v>
      </c>
    </row>
    <row r="1110" spans="1:12" x14ac:dyDescent="0.3">
      <c r="A1110">
        <v>10513</v>
      </c>
      <c r="B1110" s="2">
        <v>45631</v>
      </c>
      <c r="C1110" t="s">
        <v>37</v>
      </c>
      <c r="D1110" t="s">
        <v>26</v>
      </c>
      <c r="E1110" t="s">
        <v>23</v>
      </c>
      <c r="F1110" t="s">
        <v>15</v>
      </c>
      <c r="G1110" t="s">
        <v>16</v>
      </c>
      <c r="H1110">
        <v>1</v>
      </c>
      <c r="I1110" s="3">
        <v>28</v>
      </c>
      <c r="J1110" s="3">
        <v>28</v>
      </c>
      <c r="K1110" t="s">
        <v>30</v>
      </c>
      <c r="L1110" t="s">
        <v>33</v>
      </c>
    </row>
    <row r="1111" spans="1:12" x14ac:dyDescent="0.3">
      <c r="A1111">
        <v>10763</v>
      </c>
      <c r="B1111" s="2">
        <v>45631</v>
      </c>
      <c r="C1111" t="s">
        <v>40</v>
      </c>
      <c r="D1111" t="s">
        <v>13</v>
      </c>
      <c r="E1111" t="s">
        <v>23</v>
      </c>
      <c r="F1111" t="s">
        <v>28</v>
      </c>
      <c r="G1111" t="s">
        <v>36</v>
      </c>
      <c r="H1111">
        <v>5</v>
      </c>
      <c r="I1111" s="3">
        <v>28</v>
      </c>
      <c r="J1111" s="3">
        <v>140</v>
      </c>
      <c r="K1111" t="s">
        <v>17</v>
      </c>
      <c r="L1111" t="s">
        <v>27</v>
      </c>
    </row>
    <row r="1112" spans="1:12" x14ac:dyDescent="0.3">
      <c r="A1112">
        <v>10891</v>
      </c>
      <c r="B1112" s="2">
        <v>45631</v>
      </c>
      <c r="C1112" t="s">
        <v>40</v>
      </c>
      <c r="D1112" t="s">
        <v>13</v>
      </c>
      <c r="E1112" t="s">
        <v>23</v>
      </c>
      <c r="F1112" t="s">
        <v>28</v>
      </c>
      <c r="G1112" t="s">
        <v>36</v>
      </c>
      <c r="H1112">
        <v>1</v>
      </c>
      <c r="I1112" s="3">
        <v>140</v>
      </c>
      <c r="J1112" s="3">
        <v>140</v>
      </c>
      <c r="K1112" t="s">
        <v>17</v>
      </c>
      <c r="L1112" t="s">
        <v>33</v>
      </c>
    </row>
    <row r="1113" spans="1:12" x14ac:dyDescent="0.3">
      <c r="A1113">
        <v>11191</v>
      </c>
      <c r="B1113" s="2">
        <v>45631</v>
      </c>
      <c r="C1113" t="s">
        <v>40</v>
      </c>
      <c r="D1113" t="s">
        <v>13</v>
      </c>
      <c r="E1113" t="s">
        <v>23</v>
      </c>
      <c r="F1113" t="s">
        <v>28</v>
      </c>
      <c r="G1113" t="s">
        <v>34</v>
      </c>
      <c r="H1113">
        <v>2</v>
      </c>
      <c r="I1113" s="3">
        <v>104</v>
      </c>
      <c r="J1113" s="3">
        <v>208</v>
      </c>
      <c r="K1113" t="s">
        <v>25</v>
      </c>
      <c r="L1113" t="s">
        <v>18</v>
      </c>
    </row>
    <row r="1114" spans="1:12" x14ac:dyDescent="0.3">
      <c r="A1114">
        <v>10935</v>
      </c>
      <c r="B1114" s="2">
        <v>45632</v>
      </c>
      <c r="C1114" t="s">
        <v>12</v>
      </c>
      <c r="D1114" t="s">
        <v>13</v>
      </c>
      <c r="E1114" t="s">
        <v>23</v>
      </c>
      <c r="F1114" t="s">
        <v>28</v>
      </c>
      <c r="G1114" t="s">
        <v>34</v>
      </c>
      <c r="H1114">
        <v>5</v>
      </c>
      <c r="I1114" s="3">
        <v>33</v>
      </c>
      <c r="J1114" s="3">
        <v>165</v>
      </c>
      <c r="K1114" t="s">
        <v>17</v>
      </c>
      <c r="L1114" t="s">
        <v>33</v>
      </c>
    </row>
    <row r="1115" spans="1:12" x14ac:dyDescent="0.3">
      <c r="A1115">
        <v>10971</v>
      </c>
      <c r="B1115" s="2">
        <v>45632</v>
      </c>
      <c r="C1115" t="s">
        <v>40</v>
      </c>
      <c r="D1115" t="s">
        <v>22</v>
      </c>
      <c r="E1115" t="s">
        <v>23</v>
      </c>
      <c r="F1115" t="s">
        <v>28</v>
      </c>
      <c r="G1115" t="s">
        <v>36</v>
      </c>
      <c r="H1115">
        <v>3</v>
      </c>
      <c r="I1115" s="3">
        <v>57</v>
      </c>
      <c r="J1115" s="3">
        <v>171</v>
      </c>
      <c r="K1115" t="s">
        <v>35</v>
      </c>
      <c r="L1115" t="s">
        <v>18</v>
      </c>
    </row>
    <row r="1116" spans="1:12" x14ac:dyDescent="0.3">
      <c r="A1116">
        <v>10105</v>
      </c>
      <c r="B1116" s="2">
        <v>45633</v>
      </c>
      <c r="C1116" t="s">
        <v>40</v>
      </c>
      <c r="D1116" t="s">
        <v>42</v>
      </c>
      <c r="E1116" t="s">
        <v>23</v>
      </c>
      <c r="F1116" t="s">
        <v>15</v>
      </c>
      <c r="G1116" t="s">
        <v>19</v>
      </c>
      <c r="H1116">
        <v>4</v>
      </c>
      <c r="I1116" s="3">
        <v>85</v>
      </c>
      <c r="J1116" s="3">
        <v>340</v>
      </c>
      <c r="K1116" t="s">
        <v>17</v>
      </c>
      <c r="L1116" t="s">
        <v>20</v>
      </c>
    </row>
    <row r="1117" spans="1:12" x14ac:dyDescent="0.3">
      <c r="A1117">
        <v>10915</v>
      </c>
      <c r="B1117" s="2">
        <v>45633</v>
      </c>
      <c r="C1117" t="s">
        <v>40</v>
      </c>
      <c r="D1117" t="s">
        <v>13</v>
      </c>
      <c r="E1117" t="s">
        <v>23</v>
      </c>
      <c r="F1117" t="s">
        <v>28</v>
      </c>
      <c r="G1117" t="s">
        <v>34</v>
      </c>
      <c r="H1117">
        <v>3</v>
      </c>
      <c r="I1117" s="3">
        <v>94</v>
      </c>
      <c r="J1117" s="3">
        <v>282</v>
      </c>
      <c r="K1117" t="s">
        <v>30</v>
      </c>
      <c r="L1117" t="s">
        <v>18</v>
      </c>
    </row>
    <row r="1118" spans="1:12" x14ac:dyDescent="0.3">
      <c r="A1118">
        <v>11013</v>
      </c>
      <c r="B1118" s="2">
        <v>45633</v>
      </c>
      <c r="C1118" t="s">
        <v>12</v>
      </c>
      <c r="D1118" t="s">
        <v>42</v>
      </c>
      <c r="E1118" t="s">
        <v>23</v>
      </c>
      <c r="F1118" t="s">
        <v>15</v>
      </c>
      <c r="G1118" t="s">
        <v>19</v>
      </c>
      <c r="H1118">
        <v>1</v>
      </c>
      <c r="I1118" s="3">
        <v>61</v>
      </c>
      <c r="J1118" s="3">
        <v>61</v>
      </c>
      <c r="K1118" t="s">
        <v>25</v>
      </c>
      <c r="L1118" t="s">
        <v>27</v>
      </c>
    </row>
    <row r="1119" spans="1:12" x14ac:dyDescent="0.3">
      <c r="A1119">
        <v>11096</v>
      </c>
      <c r="B1119" s="2">
        <v>45633</v>
      </c>
      <c r="C1119" t="s">
        <v>37</v>
      </c>
      <c r="D1119" t="s">
        <v>42</v>
      </c>
      <c r="E1119" t="s">
        <v>14</v>
      </c>
      <c r="F1119" t="s">
        <v>15</v>
      </c>
      <c r="G1119" t="s">
        <v>19</v>
      </c>
      <c r="H1119">
        <v>5</v>
      </c>
      <c r="I1119" s="3">
        <v>28</v>
      </c>
      <c r="J1119" s="3">
        <v>140</v>
      </c>
      <c r="K1119" t="s">
        <v>32</v>
      </c>
      <c r="L1119" t="s">
        <v>27</v>
      </c>
    </row>
    <row r="1120" spans="1:12" x14ac:dyDescent="0.3">
      <c r="A1120">
        <v>10058</v>
      </c>
      <c r="B1120" s="2">
        <v>45634</v>
      </c>
      <c r="C1120" t="s">
        <v>21</v>
      </c>
      <c r="D1120" t="s">
        <v>13</v>
      </c>
      <c r="E1120" t="s">
        <v>23</v>
      </c>
      <c r="F1120" t="s">
        <v>38</v>
      </c>
      <c r="G1120" t="s">
        <v>41</v>
      </c>
      <c r="H1120">
        <v>4</v>
      </c>
      <c r="I1120" s="3">
        <v>106</v>
      </c>
      <c r="J1120" s="3">
        <v>424</v>
      </c>
      <c r="K1120" t="s">
        <v>32</v>
      </c>
      <c r="L1120" t="s">
        <v>18</v>
      </c>
    </row>
    <row r="1121" spans="1:12" x14ac:dyDescent="0.3">
      <c r="A1121">
        <v>10389</v>
      </c>
      <c r="B1121" s="2">
        <v>45635</v>
      </c>
      <c r="C1121" t="s">
        <v>37</v>
      </c>
      <c r="D1121" t="s">
        <v>22</v>
      </c>
      <c r="E1121" t="s">
        <v>23</v>
      </c>
      <c r="F1121" t="s">
        <v>38</v>
      </c>
      <c r="G1121" t="s">
        <v>43</v>
      </c>
      <c r="H1121">
        <v>2</v>
      </c>
      <c r="I1121" s="3">
        <v>141</v>
      </c>
      <c r="J1121" s="3">
        <v>282</v>
      </c>
      <c r="K1121" t="s">
        <v>32</v>
      </c>
      <c r="L1121" t="s">
        <v>20</v>
      </c>
    </row>
    <row r="1122" spans="1:12" x14ac:dyDescent="0.3">
      <c r="A1122">
        <v>10429</v>
      </c>
      <c r="B1122" s="2">
        <v>45635</v>
      </c>
      <c r="C1122" t="s">
        <v>40</v>
      </c>
      <c r="D1122" t="s">
        <v>13</v>
      </c>
      <c r="E1122" t="s">
        <v>23</v>
      </c>
      <c r="F1122" t="s">
        <v>28</v>
      </c>
      <c r="G1122" t="s">
        <v>29</v>
      </c>
      <c r="H1122">
        <v>2</v>
      </c>
      <c r="I1122" s="3">
        <v>33</v>
      </c>
      <c r="J1122" s="3">
        <v>66</v>
      </c>
      <c r="K1122" t="s">
        <v>32</v>
      </c>
      <c r="L1122" t="s">
        <v>33</v>
      </c>
    </row>
    <row r="1123" spans="1:12" x14ac:dyDescent="0.3">
      <c r="A1123">
        <v>10965</v>
      </c>
      <c r="B1123" s="2">
        <v>45635</v>
      </c>
      <c r="C1123" t="s">
        <v>40</v>
      </c>
      <c r="D1123" t="s">
        <v>13</v>
      </c>
      <c r="E1123" t="s">
        <v>23</v>
      </c>
      <c r="F1123" t="s">
        <v>38</v>
      </c>
      <c r="G1123" t="s">
        <v>41</v>
      </c>
      <c r="H1123">
        <v>3</v>
      </c>
      <c r="I1123" s="3">
        <v>141</v>
      </c>
      <c r="J1123" s="3">
        <v>423</v>
      </c>
      <c r="K1123" t="s">
        <v>25</v>
      </c>
      <c r="L1123" t="s">
        <v>33</v>
      </c>
    </row>
    <row r="1124" spans="1:12" x14ac:dyDescent="0.3">
      <c r="A1124">
        <v>10230</v>
      </c>
      <c r="B1124" s="2">
        <v>45636</v>
      </c>
      <c r="C1124" t="s">
        <v>37</v>
      </c>
      <c r="D1124" t="s">
        <v>31</v>
      </c>
      <c r="E1124" t="s">
        <v>23</v>
      </c>
      <c r="F1124" t="s">
        <v>38</v>
      </c>
      <c r="G1124" t="s">
        <v>43</v>
      </c>
      <c r="H1124">
        <v>1</v>
      </c>
      <c r="I1124" s="3">
        <v>138</v>
      </c>
      <c r="J1124" s="3">
        <v>138</v>
      </c>
      <c r="K1124" t="s">
        <v>35</v>
      </c>
      <c r="L1124" t="s">
        <v>18</v>
      </c>
    </row>
    <row r="1125" spans="1:12" x14ac:dyDescent="0.3">
      <c r="A1125">
        <v>10287</v>
      </c>
      <c r="B1125" s="2">
        <v>45636</v>
      </c>
      <c r="C1125" t="s">
        <v>12</v>
      </c>
      <c r="D1125" t="s">
        <v>26</v>
      </c>
      <c r="E1125" t="s">
        <v>14</v>
      </c>
      <c r="F1125" t="s">
        <v>15</v>
      </c>
      <c r="G1125" t="s">
        <v>24</v>
      </c>
      <c r="H1125">
        <v>3</v>
      </c>
      <c r="I1125" s="3">
        <v>41</v>
      </c>
      <c r="J1125" s="3">
        <v>123</v>
      </c>
      <c r="K1125" t="s">
        <v>32</v>
      </c>
      <c r="L1125" t="s">
        <v>33</v>
      </c>
    </row>
    <row r="1126" spans="1:12" x14ac:dyDescent="0.3">
      <c r="A1126">
        <v>10326</v>
      </c>
      <c r="B1126" s="2">
        <v>45636</v>
      </c>
      <c r="C1126" t="s">
        <v>40</v>
      </c>
      <c r="D1126" t="s">
        <v>13</v>
      </c>
      <c r="E1126" t="s">
        <v>14</v>
      </c>
      <c r="F1126" t="s">
        <v>15</v>
      </c>
      <c r="G1126" t="s">
        <v>19</v>
      </c>
      <c r="H1126">
        <v>1</v>
      </c>
      <c r="I1126" s="3">
        <v>148</v>
      </c>
      <c r="J1126" s="3">
        <v>148</v>
      </c>
      <c r="K1126" t="s">
        <v>17</v>
      </c>
      <c r="L1126" t="s">
        <v>18</v>
      </c>
    </row>
    <row r="1127" spans="1:12" x14ac:dyDescent="0.3">
      <c r="A1127">
        <v>10427</v>
      </c>
      <c r="B1127" s="2">
        <v>45636</v>
      </c>
      <c r="C1127" t="s">
        <v>12</v>
      </c>
      <c r="D1127" t="s">
        <v>13</v>
      </c>
      <c r="E1127" t="s">
        <v>23</v>
      </c>
      <c r="F1127" t="s">
        <v>15</v>
      </c>
      <c r="G1127" t="s">
        <v>24</v>
      </c>
      <c r="H1127">
        <v>3</v>
      </c>
      <c r="I1127" s="3">
        <v>108</v>
      </c>
      <c r="J1127" s="3">
        <v>324</v>
      </c>
      <c r="K1127" t="s">
        <v>25</v>
      </c>
      <c r="L1127" t="s">
        <v>33</v>
      </c>
    </row>
    <row r="1128" spans="1:12" x14ac:dyDescent="0.3">
      <c r="A1128">
        <v>10598</v>
      </c>
      <c r="B1128" s="2">
        <v>45636</v>
      </c>
      <c r="C1128" t="s">
        <v>21</v>
      </c>
      <c r="D1128" t="s">
        <v>42</v>
      </c>
      <c r="E1128" t="s">
        <v>14</v>
      </c>
      <c r="F1128" t="s">
        <v>28</v>
      </c>
      <c r="G1128" t="s">
        <v>34</v>
      </c>
      <c r="H1128">
        <v>3</v>
      </c>
      <c r="I1128" s="3">
        <v>106</v>
      </c>
      <c r="J1128" s="3">
        <v>318</v>
      </c>
      <c r="K1128" t="s">
        <v>32</v>
      </c>
      <c r="L1128" t="s">
        <v>27</v>
      </c>
    </row>
    <row r="1129" spans="1:12" x14ac:dyDescent="0.3">
      <c r="A1129">
        <v>10802</v>
      </c>
      <c r="B1129" s="2">
        <v>45636</v>
      </c>
      <c r="C1129" t="s">
        <v>40</v>
      </c>
      <c r="D1129" t="s">
        <v>42</v>
      </c>
      <c r="E1129" t="s">
        <v>14</v>
      </c>
      <c r="F1129" t="s">
        <v>28</v>
      </c>
      <c r="G1129" t="s">
        <v>36</v>
      </c>
      <c r="H1129">
        <v>5</v>
      </c>
      <c r="I1129" s="3">
        <v>86</v>
      </c>
      <c r="J1129" s="3">
        <v>430</v>
      </c>
      <c r="K1129" t="s">
        <v>25</v>
      </c>
      <c r="L1129" t="s">
        <v>27</v>
      </c>
    </row>
    <row r="1130" spans="1:12" x14ac:dyDescent="0.3">
      <c r="A1130">
        <v>10428</v>
      </c>
      <c r="B1130" s="2">
        <v>45637</v>
      </c>
      <c r="C1130" t="s">
        <v>37</v>
      </c>
      <c r="D1130" t="s">
        <v>42</v>
      </c>
      <c r="E1130" t="s">
        <v>14</v>
      </c>
      <c r="F1130" t="s">
        <v>15</v>
      </c>
      <c r="G1130" t="s">
        <v>19</v>
      </c>
      <c r="H1130">
        <v>5</v>
      </c>
      <c r="I1130" s="3">
        <v>126</v>
      </c>
      <c r="J1130" s="3">
        <v>630</v>
      </c>
      <c r="K1130" t="s">
        <v>17</v>
      </c>
      <c r="L1130" t="s">
        <v>18</v>
      </c>
    </row>
    <row r="1131" spans="1:12" x14ac:dyDescent="0.3">
      <c r="A1131">
        <v>10703</v>
      </c>
      <c r="B1131" s="2">
        <v>45638</v>
      </c>
      <c r="C1131" t="s">
        <v>40</v>
      </c>
      <c r="D1131" t="s">
        <v>22</v>
      </c>
      <c r="E1131" t="s">
        <v>23</v>
      </c>
      <c r="F1131" t="s">
        <v>28</v>
      </c>
      <c r="G1131" t="s">
        <v>34</v>
      </c>
      <c r="H1131">
        <v>5</v>
      </c>
      <c r="I1131" s="3">
        <v>134</v>
      </c>
      <c r="J1131" s="3">
        <v>670</v>
      </c>
      <c r="K1131" t="s">
        <v>32</v>
      </c>
      <c r="L1131" t="s">
        <v>27</v>
      </c>
    </row>
    <row r="1132" spans="1:12" x14ac:dyDescent="0.3">
      <c r="A1132">
        <v>10788</v>
      </c>
      <c r="B1132" s="2">
        <v>45638</v>
      </c>
      <c r="C1132" t="s">
        <v>40</v>
      </c>
      <c r="D1132" t="s">
        <v>26</v>
      </c>
      <c r="E1132" t="s">
        <v>14</v>
      </c>
      <c r="F1132" t="s">
        <v>38</v>
      </c>
      <c r="G1132" t="s">
        <v>41</v>
      </c>
      <c r="H1132">
        <v>2</v>
      </c>
      <c r="I1132" s="3">
        <v>147</v>
      </c>
      <c r="J1132" s="3">
        <v>294</v>
      </c>
      <c r="K1132" t="s">
        <v>35</v>
      </c>
      <c r="L1132" t="s">
        <v>18</v>
      </c>
    </row>
    <row r="1133" spans="1:12" x14ac:dyDescent="0.3">
      <c r="A1133">
        <v>11002</v>
      </c>
      <c r="B1133" s="2">
        <v>45638</v>
      </c>
      <c r="C1133" t="s">
        <v>12</v>
      </c>
      <c r="D1133" t="s">
        <v>42</v>
      </c>
      <c r="E1133" t="s">
        <v>23</v>
      </c>
      <c r="F1133" t="s">
        <v>15</v>
      </c>
      <c r="G1133" t="s">
        <v>19</v>
      </c>
      <c r="H1133">
        <v>1</v>
      </c>
      <c r="I1133" s="3">
        <v>128</v>
      </c>
      <c r="J1133" s="3">
        <v>128</v>
      </c>
      <c r="K1133" t="s">
        <v>17</v>
      </c>
      <c r="L1133" t="s">
        <v>18</v>
      </c>
    </row>
    <row r="1134" spans="1:12" x14ac:dyDescent="0.3">
      <c r="A1134">
        <v>10138</v>
      </c>
      <c r="B1134" s="2">
        <v>45639</v>
      </c>
      <c r="C1134" t="s">
        <v>21</v>
      </c>
      <c r="D1134" t="s">
        <v>22</v>
      </c>
      <c r="E1134" t="s">
        <v>23</v>
      </c>
      <c r="F1134" t="s">
        <v>38</v>
      </c>
      <c r="G1134" t="s">
        <v>39</v>
      </c>
      <c r="H1134">
        <v>1</v>
      </c>
      <c r="I1134" s="3">
        <v>92</v>
      </c>
      <c r="J1134" s="3">
        <v>92</v>
      </c>
      <c r="K1134" t="s">
        <v>25</v>
      </c>
      <c r="L1134" t="s">
        <v>20</v>
      </c>
    </row>
    <row r="1135" spans="1:12" x14ac:dyDescent="0.3">
      <c r="A1135">
        <v>10181</v>
      </c>
      <c r="B1135" s="2">
        <v>45639</v>
      </c>
      <c r="C1135" t="s">
        <v>21</v>
      </c>
      <c r="D1135" t="s">
        <v>26</v>
      </c>
      <c r="E1135" t="s">
        <v>23</v>
      </c>
      <c r="F1135" t="s">
        <v>15</v>
      </c>
      <c r="G1135" t="s">
        <v>16</v>
      </c>
      <c r="H1135">
        <v>5</v>
      </c>
      <c r="I1135" s="3">
        <v>59</v>
      </c>
      <c r="J1135" s="3">
        <v>295</v>
      </c>
      <c r="K1135" t="s">
        <v>30</v>
      </c>
      <c r="L1135" t="s">
        <v>18</v>
      </c>
    </row>
    <row r="1136" spans="1:12" x14ac:dyDescent="0.3">
      <c r="A1136">
        <v>10641</v>
      </c>
      <c r="B1136" s="2">
        <v>45639</v>
      </c>
      <c r="C1136" t="s">
        <v>37</v>
      </c>
      <c r="D1136" t="s">
        <v>22</v>
      </c>
      <c r="E1136" t="s">
        <v>14</v>
      </c>
      <c r="F1136" t="s">
        <v>28</v>
      </c>
      <c r="G1136" t="s">
        <v>29</v>
      </c>
      <c r="H1136">
        <v>4</v>
      </c>
      <c r="I1136" s="3">
        <v>117</v>
      </c>
      <c r="J1136" s="3">
        <v>468</v>
      </c>
      <c r="K1136" t="s">
        <v>25</v>
      </c>
      <c r="L1136" t="s">
        <v>33</v>
      </c>
    </row>
    <row r="1137" spans="1:12" x14ac:dyDescent="0.3">
      <c r="A1137">
        <v>10701</v>
      </c>
      <c r="B1137" s="2">
        <v>45639</v>
      </c>
      <c r="C1137" t="s">
        <v>40</v>
      </c>
      <c r="D1137" t="s">
        <v>26</v>
      </c>
      <c r="E1137" t="s">
        <v>14</v>
      </c>
      <c r="F1137" t="s">
        <v>15</v>
      </c>
      <c r="G1137" t="s">
        <v>19</v>
      </c>
      <c r="H1137">
        <v>1</v>
      </c>
      <c r="I1137" s="3">
        <v>55</v>
      </c>
      <c r="J1137" s="3">
        <v>55</v>
      </c>
      <c r="K1137" t="s">
        <v>30</v>
      </c>
      <c r="L1137" t="s">
        <v>20</v>
      </c>
    </row>
    <row r="1138" spans="1:12" x14ac:dyDescent="0.3">
      <c r="A1138">
        <v>10997</v>
      </c>
      <c r="B1138" s="2">
        <v>45639</v>
      </c>
      <c r="C1138" t="s">
        <v>21</v>
      </c>
      <c r="D1138" t="s">
        <v>42</v>
      </c>
      <c r="E1138" t="s">
        <v>14</v>
      </c>
      <c r="F1138" t="s">
        <v>38</v>
      </c>
      <c r="G1138" t="s">
        <v>39</v>
      </c>
      <c r="H1138">
        <v>2</v>
      </c>
      <c r="I1138" s="3">
        <v>108</v>
      </c>
      <c r="J1138" s="3">
        <v>216</v>
      </c>
      <c r="K1138" t="s">
        <v>35</v>
      </c>
      <c r="L1138" t="s">
        <v>18</v>
      </c>
    </row>
    <row r="1139" spans="1:12" x14ac:dyDescent="0.3">
      <c r="A1139">
        <v>10380</v>
      </c>
      <c r="B1139" s="2">
        <v>45640</v>
      </c>
      <c r="C1139" t="s">
        <v>40</v>
      </c>
      <c r="D1139" t="s">
        <v>13</v>
      </c>
      <c r="E1139" t="s">
        <v>23</v>
      </c>
      <c r="F1139" t="s">
        <v>38</v>
      </c>
      <c r="G1139" t="s">
        <v>43</v>
      </c>
      <c r="H1139">
        <v>4</v>
      </c>
      <c r="I1139" s="3">
        <v>51</v>
      </c>
      <c r="J1139" s="3">
        <v>204</v>
      </c>
      <c r="K1139" t="s">
        <v>30</v>
      </c>
      <c r="L1139" t="s">
        <v>27</v>
      </c>
    </row>
    <row r="1140" spans="1:12" x14ac:dyDescent="0.3">
      <c r="A1140">
        <v>10865</v>
      </c>
      <c r="B1140" s="2">
        <v>45640</v>
      </c>
      <c r="C1140" t="s">
        <v>21</v>
      </c>
      <c r="D1140" t="s">
        <v>31</v>
      </c>
      <c r="E1140" t="s">
        <v>23</v>
      </c>
      <c r="F1140" t="s">
        <v>28</v>
      </c>
      <c r="G1140" t="s">
        <v>36</v>
      </c>
      <c r="H1140">
        <v>1</v>
      </c>
      <c r="I1140" s="3">
        <v>84</v>
      </c>
      <c r="J1140" s="3">
        <v>84</v>
      </c>
      <c r="K1140" t="s">
        <v>25</v>
      </c>
      <c r="L1140" t="s">
        <v>33</v>
      </c>
    </row>
    <row r="1141" spans="1:12" x14ac:dyDescent="0.3">
      <c r="A1141">
        <v>10866</v>
      </c>
      <c r="B1141" s="2">
        <v>45640</v>
      </c>
      <c r="C1141" t="s">
        <v>21</v>
      </c>
      <c r="D1141" t="s">
        <v>42</v>
      </c>
      <c r="E1141" t="s">
        <v>23</v>
      </c>
      <c r="F1141" t="s">
        <v>38</v>
      </c>
      <c r="G1141" t="s">
        <v>39</v>
      </c>
      <c r="H1141">
        <v>3</v>
      </c>
      <c r="I1141" s="3">
        <v>51</v>
      </c>
      <c r="J1141" s="3">
        <v>153</v>
      </c>
      <c r="K1141" t="s">
        <v>17</v>
      </c>
      <c r="L1141" t="s">
        <v>18</v>
      </c>
    </row>
    <row r="1142" spans="1:12" x14ac:dyDescent="0.3">
      <c r="A1142">
        <v>10924</v>
      </c>
      <c r="B1142" s="2">
        <v>45640</v>
      </c>
      <c r="C1142" t="s">
        <v>40</v>
      </c>
      <c r="D1142" t="s">
        <v>13</v>
      </c>
      <c r="E1142" t="s">
        <v>14</v>
      </c>
      <c r="F1142" t="s">
        <v>28</v>
      </c>
      <c r="G1142" t="s">
        <v>34</v>
      </c>
      <c r="H1142">
        <v>3</v>
      </c>
      <c r="I1142" s="3">
        <v>69</v>
      </c>
      <c r="J1142" s="3">
        <v>207</v>
      </c>
      <c r="K1142" t="s">
        <v>32</v>
      </c>
      <c r="L1142" t="s">
        <v>20</v>
      </c>
    </row>
    <row r="1143" spans="1:12" x14ac:dyDescent="0.3">
      <c r="A1143">
        <v>10233</v>
      </c>
      <c r="B1143" s="2">
        <v>45641</v>
      </c>
      <c r="C1143" t="s">
        <v>12</v>
      </c>
      <c r="D1143" t="s">
        <v>26</v>
      </c>
      <c r="E1143" t="s">
        <v>14</v>
      </c>
      <c r="F1143" t="s">
        <v>38</v>
      </c>
      <c r="G1143" t="s">
        <v>39</v>
      </c>
      <c r="H1143">
        <v>4</v>
      </c>
      <c r="I1143" s="3">
        <v>40</v>
      </c>
      <c r="J1143" s="3">
        <v>160</v>
      </c>
      <c r="K1143" t="s">
        <v>32</v>
      </c>
      <c r="L1143" t="s">
        <v>27</v>
      </c>
    </row>
    <row r="1144" spans="1:12" x14ac:dyDescent="0.3">
      <c r="A1144">
        <v>10273</v>
      </c>
      <c r="B1144" s="2">
        <v>45641</v>
      </c>
      <c r="C1144" t="s">
        <v>40</v>
      </c>
      <c r="D1144" t="s">
        <v>42</v>
      </c>
      <c r="E1144" t="s">
        <v>14</v>
      </c>
      <c r="F1144" t="s">
        <v>15</v>
      </c>
      <c r="G1144" t="s">
        <v>16</v>
      </c>
      <c r="H1144">
        <v>5</v>
      </c>
      <c r="I1144" s="3">
        <v>66</v>
      </c>
      <c r="J1144" s="3">
        <v>330</v>
      </c>
      <c r="K1144" t="s">
        <v>30</v>
      </c>
      <c r="L1144" t="s">
        <v>33</v>
      </c>
    </row>
    <row r="1145" spans="1:12" x14ac:dyDescent="0.3">
      <c r="A1145">
        <v>10899</v>
      </c>
      <c r="B1145" s="2">
        <v>45641</v>
      </c>
      <c r="C1145" t="s">
        <v>37</v>
      </c>
      <c r="D1145" t="s">
        <v>13</v>
      </c>
      <c r="E1145" t="s">
        <v>14</v>
      </c>
      <c r="F1145" t="s">
        <v>15</v>
      </c>
      <c r="G1145" t="s">
        <v>19</v>
      </c>
      <c r="H1145">
        <v>3</v>
      </c>
      <c r="I1145" s="3">
        <v>97</v>
      </c>
      <c r="J1145" s="3">
        <v>291</v>
      </c>
      <c r="K1145" t="s">
        <v>17</v>
      </c>
      <c r="L1145" t="s">
        <v>33</v>
      </c>
    </row>
    <row r="1146" spans="1:12" x14ac:dyDescent="0.3">
      <c r="A1146">
        <v>10008</v>
      </c>
      <c r="B1146" s="2">
        <v>45642</v>
      </c>
      <c r="C1146" t="s">
        <v>37</v>
      </c>
      <c r="D1146" t="s">
        <v>31</v>
      </c>
      <c r="E1146" t="s">
        <v>14</v>
      </c>
      <c r="F1146" t="s">
        <v>38</v>
      </c>
      <c r="G1146" t="s">
        <v>39</v>
      </c>
      <c r="H1146">
        <v>5</v>
      </c>
      <c r="I1146" s="3">
        <v>76</v>
      </c>
      <c r="J1146" s="3">
        <v>380</v>
      </c>
      <c r="K1146" t="s">
        <v>25</v>
      </c>
      <c r="L1146" t="s">
        <v>33</v>
      </c>
    </row>
    <row r="1147" spans="1:12" x14ac:dyDescent="0.3">
      <c r="A1147">
        <v>10267</v>
      </c>
      <c r="B1147" s="2">
        <v>45642</v>
      </c>
      <c r="C1147" t="s">
        <v>21</v>
      </c>
      <c r="D1147" t="s">
        <v>13</v>
      </c>
      <c r="E1147" t="s">
        <v>14</v>
      </c>
      <c r="F1147" t="s">
        <v>15</v>
      </c>
      <c r="G1147" t="s">
        <v>24</v>
      </c>
      <c r="H1147">
        <v>2</v>
      </c>
      <c r="I1147" s="3">
        <v>63</v>
      </c>
      <c r="J1147" s="3">
        <v>126</v>
      </c>
      <c r="K1147" t="s">
        <v>35</v>
      </c>
      <c r="L1147" t="s">
        <v>33</v>
      </c>
    </row>
    <row r="1148" spans="1:12" x14ac:dyDescent="0.3">
      <c r="A1148">
        <v>10291</v>
      </c>
      <c r="B1148" s="2">
        <v>45642</v>
      </c>
      <c r="C1148" t="s">
        <v>21</v>
      </c>
      <c r="D1148" t="s">
        <v>42</v>
      </c>
      <c r="E1148" t="s">
        <v>23</v>
      </c>
      <c r="F1148" t="s">
        <v>15</v>
      </c>
      <c r="G1148" t="s">
        <v>24</v>
      </c>
      <c r="H1148">
        <v>4</v>
      </c>
      <c r="I1148" s="3">
        <v>124</v>
      </c>
      <c r="J1148" s="3">
        <v>496</v>
      </c>
      <c r="K1148" t="s">
        <v>30</v>
      </c>
      <c r="L1148" t="s">
        <v>20</v>
      </c>
    </row>
    <row r="1149" spans="1:12" x14ac:dyDescent="0.3">
      <c r="A1149">
        <v>10442</v>
      </c>
      <c r="B1149" s="2">
        <v>45642</v>
      </c>
      <c r="C1149" t="s">
        <v>21</v>
      </c>
      <c r="D1149" t="s">
        <v>31</v>
      </c>
      <c r="E1149" t="s">
        <v>14</v>
      </c>
      <c r="F1149" t="s">
        <v>15</v>
      </c>
      <c r="G1149" t="s">
        <v>16</v>
      </c>
      <c r="H1149">
        <v>2</v>
      </c>
      <c r="I1149" s="3">
        <v>74</v>
      </c>
      <c r="J1149" s="3">
        <v>148</v>
      </c>
      <c r="K1149" t="s">
        <v>17</v>
      </c>
      <c r="L1149" t="s">
        <v>27</v>
      </c>
    </row>
    <row r="1150" spans="1:12" x14ac:dyDescent="0.3">
      <c r="A1150">
        <v>10472</v>
      </c>
      <c r="B1150" s="2">
        <v>45642</v>
      </c>
      <c r="C1150" t="s">
        <v>21</v>
      </c>
      <c r="D1150" t="s">
        <v>13</v>
      </c>
      <c r="E1150" t="s">
        <v>14</v>
      </c>
      <c r="F1150" t="s">
        <v>28</v>
      </c>
      <c r="G1150" t="s">
        <v>34</v>
      </c>
      <c r="H1150">
        <v>2</v>
      </c>
      <c r="I1150" s="3">
        <v>149</v>
      </c>
      <c r="J1150" s="3">
        <v>298</v>
      </c>
      <c r="K1150" t="s">
        <v>32</v>
      </c>
      <c r="L1150" t="s">
        <v>27</v>
      </c>
    </row>
    <row r="1151" spans="1:12" x14ac:dyDescent="0.3">
      <c r="A1151">
        <v>10685</v>
      </c>
      <c r="B1151" s="2">
        <v>45642</v>
      </c>
      <c r="C1151" t="s">
        <v>40</v>
      </c>
      <c r="D1151" t="s">
        <v>22</v>
      </c>
      <c r="E1151" t="s">
        <v>23</v>
      </c>
      <c r="F1151" t="s">
        <v>38</v>
      </c>
      <c r="G1151" t="s">
        <v>43</v>
      </c>
      <c r="H1151">
        <v>5</v>
      </c>
      <c r="I1151" s="3">
        <v>73</v>
      </c>
      <c r="J1151" s="3">
        <v>365</v>
      </c>
      <c r="K1151" t="s">
        <v>25</v>
      </c>
      <c r="L1151" t="s">
        <v>33</v>
      </c>
    </row>
    <row r="1152" spans="1:12" x14ac:dyDescent="0.3">
      <c r="A1152">
        <v>11047</v>
      </c>
      <c r="B1152" s="2">
        <v>45642</v>
      </c>
      <c r="C1152" t="s">
        <v>21</v>
      </c>
      <c r="D1152" t="s">
        <v>31</v>
      </c>
      <c r="E1152" t="s">
        <v>23</v>
      </c>
      <c r="F1152" t="s">
        <v>28</v>
      </c>
      <c r="G1152" t="s">
        <v>29</v>
      </c>
      <c r="H1152">
        <v>3</v>
      </c>
      <c r="I1152" s="3">
        <v>77</v>
      </c>
      <c r="J1152" s="3">
        <v>231</v>
      </c>
      <c r="K1152" t="s">
        <v>32</v>
      </c>
      <c r="L1152" t="s">
        <v>18</v>
      </c>
    </row>
    <row r="1153" spans="1:12" x14ac:dyDescent="0.3">
      <c r="A1153">
        <v>11084</v>
      </c>
      <c r="B1153" s="2">
        <v>45642</v>
      </c>
      <c r="C1153" t="s">
        <v>21</v>
      </c>
      <c r="D1153" t="s">
        <v>26</v>
      </c>
      <c r="E1153" t="s">
        <v>23</v>
      </c>
      <c r="F1153" t="s">
        <v>28</v>
      </c>
      <c r="G1153" t="s">
        <v>34</v>
      </c>
      <c r="H1153">
        <v>2</v>
      </c>
      <c r="I1153" s="3">
        <v>25</v>
      </c>
      <c r="J1153" s="3">
        <v>50</v>
      </c>
      <c r="K1153" t="s">
        <v>32</v>
      </c>
      <c r="L1153" t="s">
        <v>18</v>
      </c>
    </row>
    <row r="1154" spans="1:12" x14ac:dyDescent="0.3">
      <c r="A1154">
        <v>10129</v>
      </c>
      <c r="B1154" s="2">
        <v>45643</v>
      </c>
      <c r="C1154" t="s">
        <v>21</v>
      </c>
      <c r="D1154" t="s">
        <v>31</v>
      </c>
      <c r="E1154" t="s">
        <v>14</v>
      </c>
      <c r="F1154" t="s">
        <v>15</v>
      </c>
      <c r="G1154" t="s">
        <v>19</v>
      </c>
      <c r="H1154">
        <v>3</v>
      </c>
      <c r="I1154" s="3">
        <v>59</v>
      </c>
      <c r="J1154" s="3">
        <v>177</v>
      </c>
      <c r="K1154" t="s">
        <v>25</v>
      </c>
      <c r="L1154" t="s">
        <v>18</v>
      </c>
    </row>
    <row r="1155" spans="1:12" x14ac:dyDescent="0.3">
      <c r="A1155">
        <v>10477</v>
      </c>
      <c r="B1155" s="2">
        <v>45644</v>
      </c>
      <c r="C1155" t="s">
        <v>37</v>
      </c>
      <c r="D1155" t="s">
        <v>42</v>
      </c>
      <c r="E1155" t="s">
        <v>23</v>
      </c>
      <c r="F1155" t="s">
        <v>15</v>
      </c>
      <c r="G1155" t="s">
        <v>16</v>
      </c>
      <c r="H1155">
        <v>4</v>
      </c>
      <c r="I1155" s="3">
        <v>72</v>
      </c>
      <c r="J1155" s="3">
        <v>288</v>
      </c>
      <c r="K1155" t="s">
        <v>25</v>
      </c>
      <c r="L1155" t="s">
        <v>20</v>
      </c>
    </row>
    <row r="1156" spans="1:12" x14ac:dyDescent="0.3">
      <c r="A1156">
        <v>10744</v>
      </c>
      <c r="B1156" s="2">
        <v>45644</v>
      </c>
      <c r="C1156" t="s">
        <v>40</v>
      </c>
      <c r="D1156" t="s">
        <v>26</v>
      </c>
      <c r="E1156" t="s">
        <v>14</v>
      </c>
      <c r="F1156" t="s">
        <v>15</v>
      </c>
      <c r="G1156" t="s">
        <v>19</v>
      </c>
      <c r="H1156">
        <v>5</v>
      </c>
      <c r="I1156" s="3">
        <v>41</v>
      </c>
      <c r="J1156" s="3">
        <v>205</v>
      </c>
      <c r="K1156" t="s">
        <v>35</v>
      </c>
      <c r="L1156" t="s">
        <v>20</v>
      </c>
    </row>
    <row r="1157" spans="1:12" x14ac:dyDescent="0.3">
      <c r="A1157">
        <v>10907</v>
      </c>
      <c r="B1157" s="2">
        <v>45644</v>
      </c>
      <c r="C1157" t="s">
        <v>21</v>
      </c>
      <c r="D1157" t="s">
        <v>31</v>
      </c>
      <c r="E1157" t="s">
        <v>14</v>
      </c>
      <c r="F1157" t="s">
        <v>15</v>
      </c>
      <c r="G1157" t="s">
        <v>24</v>
      </c>
      <c r="H1157">
        <v>2</v>
      </c>
      <c r="I1157" s="3">
        <v>28</v>
      </c>
      <c r="J1157" s="3">
        <v>56</v>
      </c>
      <c r="K1157" t="s">
        <v>32</v>
      </c>
      <c r="L1157" t="s">
        <v>18</v>
      </c>
    </row>
    <row r="1158" spans="1:12" x14ac:dyDescent="0.3">
      <c r="A1158">
        <v>11037</v>
      </c>
      <c r="B1158" s="2">
        <v>45644</v>
      </c>
      <c r="C1158" t="s">
        <v>21</v>
      </c>
      <c r="D1158" t="s">
        <v>26</v>
      </c>
      <c r="E1158" t="s">
        <v>14</v>
      </c>
      <c r="F1158" t="s">
        <v>38</v>
      </c>
      <c r="G1158" t="s">
        <v>41</v>
      </c>
      <c r="H1158">
        <v>5</v>
      </c>
      <c r="I1158" s="3">
        <v>47</v>
      </c>
      <c r="J1158" s="3">
        <v>235</v>
      </c>
      <c r="K1158" t="s">
        <v>30</v>
      </c>
      <c r="L1158" t="s">
        <v>20</v>
      </c>
    </row>
    <row r="1159" spans="1:12" x14ac:dyDescent="0.3">
      <c r="A1159">
        <v>11128</v>
      </c>
      <c r="B1159" s="2">
        <v>45644</v>
      </c>
      <c r="C1159" t="s">
        <v>40</v>
      </c>
      <c r="D1159" t="s">
        <v>26</v>
      </c>
      <c r="E1159" t="s">
        <v>14</v>
      </c>
      <c r="F1159" t="s">
        <v>15</v>
      </c>
      <c r="G1159" t="s">
        <v>19</v>
      </c>
      <c r="H1159">
        <v>5</v>
      </c>
      <c r="I1159" s="3">
        <v>21</v>
      </c>
      <c r="J1159" s="3">
        <v>105</v>
      </c>
      <c r="K1159" t="s">
        <v>25</v>
      </c>
      <c r="L1159" t="s">
        <v>18</v>
      </c>
    </row>
    <row r="1160" spans="1:12" x14ac:dyDescent="0.3">
      <c r="A1160">
        <v>11129</v>
      </c>
      <c r="B1160" s="2">
        <v>45644</v>
      </c>
      <c r="C1160" t="s">
        <v>21</v>
      </c>
      <c r="D1160" t="s">
        <v>26</v>
      </c>
      <c r="E1160" t="s">
        <v>14</v>
      </c>
      <c r="F1160" t="s">
        <v>38</v>
      </c>
      <c r="G1160" t="s">
        <v>41</v>
      </c>
      <c r="H1160">
        <v>3</v>
      </c>
      <c r="I1160" s="3">
        <v>104</v>
      </c>
      <c r="J1160" s="3">
        <v>312</v>
      </c>
      <c r="K1160" t="s">
        <v>32</v>
      </c>
      <c r="L1160" t="s">
        <v>27</v>
      </c>
    </row>
    <row r="1161" spans="1:12" x14ac:dyDescent="0.3">
      <c r="A1161">
        <v>10036</v>
      </c>
      <c r="B1161" s="2">
        <v>45645</v>
      </c>
      <c r="C1161" t="s">
        <v>12</v>
      </c>
      <c r="D1161" t="s">
        <v>22</v>
      </c>
      <c r="E1161" t="s">
        <v>14</v>
      </c>
      <c r="F1161" t="s">
        <v>15</v>
      </c>
      <c r="G1161" t="s">
        <v>16</v>
      </c>
      <c r="H1161">
        <v>1</v>
      </c>
      <c r="I1161" s="3">
        <v>39</v>
      </c>
      <c r="J1161" s="3">
        <v>39</v>
      </c>
      <c r="K1161" t="s">
        <v>35</v>
      </c>
      <c r="L1161" t="s">
        <v>20</v>
      </c>
    </row>
    <row r="1162" spans="1:12" x14ac:dyDescent="0.3">
      <c r="A1162">
        <v>10143</v>
      </c>
      <c r="B1162" s="2">
        <v>45645</v>
      </c>
      <c r="C1162" t="s">
        <v>37</v>
      </c>
      <c r="D1162" t="s">
        <v>31</v>
      </c>
      <c r="E1162" t="s">
        <v>23</v>
      </c>
      <c r="F1162" t="s">
        <v>38</v>
      </c>
      <c r="G1162" t="s">
        <v>41</v>
      </c>
      <c r="H1162">
        <v>5</v>
      </c>
      <c r="I1162" s="3">
        <v>137</v>
      </c>
      <c r="J1162" s="3">
        <v>685</v>
      </c>
      <c r="K1162" t="s">
        <v>25</v>
      </c>
      <c r="L1162" t="s">
        <v>20</v>
      </c>
    </row>
    <row r="1163" spans="1:12" x14ac:dyDescent="0.3">
      <c r="A1163">
        <v>10178</v>
      </c>
      <c r="B1163" s="2">
        <v>45645</v>
      </c>
      <c r="C1163" t="s">
        <v>21</v>
      </c>
      <c r="D1163" t="s">
        <v>26</v>
      </c>
      <c r="E1163" t="s">
        <v>23</v>
      </c>
      <c r="F1163" t="s">
        <v>38</v>
      </c>
      <c r="G1163" t="s">
        <v>43</v>
      </c>
      <c r="H1163">
        <v>4</v>
      </c>
      <c r="I1163" s="3">
        <v>62</v>
      </c>
      <c r="J1163" s="3">
        <v>248</v>
      </c>
      <c r="K1163" t="s">
        <v>25</v>
      </c>
      <c r="L1163" t="s">
        <v>33</v>
      </c>
    </row>
    <row r="1164" spans="1:12" x14ac:dyDescent="0.3">
      <c r="A1164">
        <v>10312</v>
      </c>
      <c r="B1164" s="2">
        <v>45645</v>
      </c>
      <c r="C1164" t="s">
        <v>40</v>
      </c>
      <c r="D1164" t="s">
        <v>26</v>
      </c>
      <c r="E1164" t="s">
        <v>14</v>
      </c>
      <c r="F1164" t="s">
        <v>28</v>
      </c>
      <c r="G1164" t="s">
        <v>36</v>
      </c>
      <c r="H1164">
        <v>5</v>
      </c>
      <c r="I1164" s="3">
        <v>92</v>
      </c>
      <c r="J1164" s="3">
        <v>460</v>
      </c>
      <c r="K1164" t="s">
        <v>17</v>
      </c>
      <c r="L1164" t="s">
        <v>20</v>
      </c>
    </row>
    <row r="1165" spans="1:12" x14ac:dyDescent="0.3">
      <c r="A1165">
        <v>10410</v>
      </c>
      <c r="B1165" s="2">
        <v>45645</v>
      </c>
      <c r="C1165" t="s">
        <v>21</v>
      </c>
      <c r="D1165" t="s">
        <v>42</v>
      </c>
      <c r="E1165" t="s">
        <v>14</v>
      </c>
      <c r="F1165" t="s">
        <v>38</v>
      </c>
      <c r="G1165" t="s">
        <v>39</v>
      </c>
      <c r="H1165">
        <v>3</v>
      </c>
      <c r="I1165" s="3">
        <v>118</v>
      </c>
      <c r="J1165" s="3">
        <v>354</v>
      </c>
      <c r="K1165" t="s">
        <v>25</v>
      </c>
      <c r="L1165" t="s">
        <v>20</v>
      </c>
    </row>
    <row r="1166" spans="1:12" x14ac:dyDescent="0.3">
      <c r="A1166">
        <v>10430</v>
      </c>
      <c r="B1166" s="2">
        <v>45645</v>
      </c>
      <c r="C1166" t="s">
        <v>37</v>
      </c>
      <c r="D1166" t="s">
        <v>13</v>
      </c>
      <c r="E1166" t="s">
        <v>14</v>
      </c>
      <c r="F1166" t="s">
        <v>15</v>
      </c>
      <c r="G1166" t="s">
        <v>19</v>
      </c>
      <c r="H1166">
        <v>2</v>
      </c>
      <c r="I1166" s="3">
        <v>35</v>
      </c>
      <c r="J1166" s="3">
        <v>70</v>
      </c>
      <c r="K1166" t="s">
        <v>35</v>
      </c>
      <c r="L1166" t="s">
        <v>27</v>
      </c>
    </row>
    <row r="1167" spans="1:12" x14ac:dyDescent="0.3">
      <c r="A1167">
        <v>10580</v>
      </c>
      <c r="B1167" s="2">
        <v>45645</v>
      </c>
      <c r="C1167" t="s">
        <v>12</v>
      </c>
      <c r="D1167" t="s">
        <v>42</v>
      </c>
      <c r="E1167" t="s">
        <v>23</v>
      </c>
      <c r="F1167" t="s">
        <v>28</v>
      </c>
      <c r="G1167" t="s">
        <v>29</v>
      </c>
      <c r="H1167">
        <v>3</v>
      </c>
      <c r="I1167" s="3">
        <v>33</v>
      </c>
      <c r="J1167" s="3">
        <v>99</v>
      </c>
      <c r="K1167" t="s">
        <v>25</v>
      </c>
      <c r="L1167" t="s">
        <v>18</v>
      </c>
    </row>
    <row r="1168" spans="1:12" x14ac:dyDescent="0.3">
      <c r="A1168">
        <v>10630</v>
      </c>
      <c r="B1168" s="2">
        <v>45645</v>
      </c>
      <c r="C1168" t="s">
        <v>40</v>
      </c>
      <c r="D1168" t="s">
        <v>13</v>
      </c>
      <c r="E1168" t="s">
        <v>23</v>
      </c>
      <c r="F1168" t="s">
        <v>15</v>
      </c>
      <c r="G1168" t="s">
        <v>19</v>
      </c>
      <c r="H1168">
        <v>1</v>
      </c>
      <c r="I1168" s="3">
        <v>143</v>
      </c>
      <c r="J1168" s="3">
        <v>143</v>
      </c>
      <c r="K1168" t="s">
        <v>30</v>
      </c>
      <c r="L1168" t="s">
        <v>18</v>
      </c>
    </row>
    <row r="1169" spans="1:12" x14ac:dyDescent="0.3">
      <c r="A1169">
        <v>10072</v>
      </c>
      <c r="B1169" s="2">
        <v>45646</v>
      </c>
      <c r="C1169" t="s">
        <v>12</v>
      </c>
      <c r="D1169" t="s">
        <v>26</v>
      </c>
      <c r="E1169" t="s">
        <v>23</v>
      </c>
      <c r="F1169" t="s">
        <v>28</v>
      </c>
      <c r="G1169" t="s">
        <v>29</v>
      </c>
      <c r="H1169">
        <v>2</v>
      </c>
      <c r="I1169" s="3">
        <v>123</v>
      </c>
      <c r="J1169" s="3">
        <v>246</v>
      </c>
      <c r="K1169" t="s">
        <v>30</v>
      </c>
      <c r="L1169" t="s">
        <v>33</v>
      </c>
    </row>
    <row r="1170" spans="1:12" x14ac:dyDescent="0.3">
      <c r="A1170">
        <v>10424</v>
      </c>
      <c r="B1170" s="2">
        <v>45646</v>
      </c>
      <c r="C1170" t="s">
        <v>12</v>
      </c>
      <c r="D1170" t="s">
        <v>13</v>
      </c>
      <c r="E1170" t="s">
        <v>14</v>
      </c>
      <c r="F1170" t="s">
        <v>15</v>
      </c>
      <c r="G1170" t="s">
        <v>19</v>
      </c>
      <c r="H1170">
        <v>5</v>
      </c>
      <c r="I1170" s="3">
        <v>65</v>
      </c>
      <c r="J1170" s="3">
        <v>325</v>
      </c>
      <c r="K1170" t="s">
        <v>30</v>
      </c>
      <c r="L1170" t="s">
        <v>33</v>
      </c>
    </row>
    <row r="1171" spans="1:12" x14ac:dyDescent="0.3">
      <c r="A1171">
        <v>10676</v>
      </c>
      <c r="B1171" s="2">
        <v>45646</v>
      </c>
      <c r="C1171" t="s">
        <v>40</v>
      </c>
      <c r="D1171" t="s">
        <v>26</v>
      </c>
      <c r="E1171" t="s">
        <v>14</v>
      </c>
      <c r="F1171" t="s">
        <v>28</v>
      </c>
      <c r="G1171" t="s">
        <v>29</v>
      </c>
      <c r="H1171">
        <v>2</v>
      </c>
      <c r="I1171" s="3">
        <v>28</v>
      </c>
      <c r="J1171" s="3">
        <v>56</v>
      </c>
      <c r="K1171" t="s">
        <v>25</v>
      </c>
      <c r="L1171" t="s">
        <v>27</v>
      </c>
    </row>
    <row r="1172" spans="1:12" x14ac:dyDescent="0.3">
      <c r="A1172">
        <v>10882</v>
      </c>
      <c r="B1172" s="2">
        <v>45646</v>
      </c>
      <c r="C1172" t="s">
        <v>12</v>
      </c>
      <c r="D1172" t="s">
        <v>42</v>
      </c>
      <c r="E1172" t="s">
        <v>14</v>
      </c>
      <c r="F1172" t="s">
        <v>38</v>
      </c>
      <c r="G1172" t="s">
        <v>41</v>
      </c>
      <c r="H1172">
        <v>1</v>
      </c>
      <c r="I1172" s="3">
        <v>77</v>
      </c>
      <c r="J1172" s="3">
        <v>77</v>
      </c>
      <c r="K1172" t="s">
        <v>32</v>
      </c>
      <c r="L1172" t="s">
        <v>27</v>
      </c>
    </row>
    <row r="1173" spans="1:12" x14ac:dyDescent="0.3">
      <c r="A1173">
        <v>10300</v>
      </c>
      <c r="B1173" s="2">
        <v>45647</v>
      </c>
      <c r="C1173" t="s">
        <v>37</v>
      </c>
      <c r="D1173" t="s">
        <v>42</v>
      </c>
      <c r="E1173" t="s">
        <v>23</v>
      </c>
      <c r="F1173" t="s">
        <v>15</v>
      </c>
      <c r="G1173" t="s">
        <v>16</v>
      </c>
      <c r="H1173">
        <v>4</v>
      </c>
      <c r="I1173" s="3">
        <v>91</v>
      </c>
      <c r="J1173" s="3">
        <v>364</v>
      </c>
      <c r="K1173" t="s">
        <v>35</v>
      </c>
      <c r="L1173" t="s">
        <v>18</v>
      </c>
    </row>
    <row r="1174" spans="1:12" x14ac:dyDescent="0.3">
      <c r="A1174">
        <v>10307</v>
      </c>
      <c r="B1174" s="2">
        <v>45647</v>
      </c>
      <c r="C1174" t="s">
        <v>12</v>
      </c>
      <c r="D1174" t="s">
        <v>42</v>
      </c>
      <c r="E1174" t="s">
        <v>14</v>
      </c>
      <c r="F1174" t="s">
        <v>15</v>
      </c>
      <c r="G1174" t="s">
        <v>19</v>
      </c>
      <c r="H1174">
        <v>1</v>
      </c>
      <c r="I1174" s="3">
        <v>128</v>
      </c>
      <c r="J1174" s="3">
        <v>128</v>
      </c>
      <c r="K1174" t="s">
        <v>32</v>
      </c>
      <c r="L1174" t="s">
        <v>27</v>
      </c>
    </row>
    <row r="1175" spans="1:12" x14ac:dyDescent="0.3">
      <c r="A1175">
        <v>10633</v>
      </c>
      <c r="B1175" s="2">
        <v>45647</v>
      </c>
      <c r="C1175" t="s">
        <v>37</v>
      </c>
      <c r="D1175" t="s">
        <v>22</v>
      </c>
      <c r="E1175" t="s">
        <v>23</v>
      </c>
      <c r="F1175" t="s">
        <v>38</v>
      </c>
      <c r="G1175" t="s">
        <v>39</v>
      </c>
      <c r="H1175">
        <v>2</v>
      </c>
      <c r="I1175" s="3">
        <v>29</v>
      </c>
      <c r="J1175" s="3">
        <v>58</v>
      </c>
      <c r="K1175" t="s">
        <v>25</v>
      </c>
      <c r="L1175" t="s">
        <v>27</v>
      </c>
    </row>
    <row r="1176" spans="1:12" x14ac:dyDescent="0.3">
      <c r="A1176">
        <v>10240</v>
      </c>
      <c r="B1176" s="2">
        <v>45648</v>
      </c>
      <c r="C1176" t="s">
        <v>21</v>
      </c>
      <c r="D1176" t="s">
        <v>42</v>
      </c>
      <c r="E1176" t="s">
        <v>14</v>
      </c>
      <c r="F1176" t="s">
        <v>15</v>
      </c>
      <c r="G1176" t="s">
        <v>24</v>
      </c>
      <c r="H1176">
        <v>4</v>
      </c>
      <c r="I1176" s="3">
        <v>101</v>
      </c>
      <c r="J1176" s="3">
        <v>404</v>
      </c>
      <c r="K1176" t="s">
        <v>35</v>
      </c>
      <c r="L1176" t="s">
        <v>27</v>
      </c>
    </row>
    <row r="1177" spans="1:12" x14ac:dyDescent="0.3">
      <c r="A1177">
        <v>10255</v>
      </c>
      <c r="B1177" s="2">
        <v>45648</v>
      </c>
      <c r="C1177" t="s">
        <v>12</v>
      </c>
      <c r="D1177" t="s">
        <v>26</v>
      </c>
      <c r="E1177" t="s">
        <v>14</v>
      </c>
      <c r="F1177" t="s">
        <v>38</v>
      </c>
      <c r="G1177" t="s">
        <v>39</v>
      </c>
      <c r="H1177">
        <v>4</v>
      </c>
      <c r="I1177" s="3">
        <v>82</v>
      </c>
      <c r="J1177" s="3">
        <v>328</v>
      </c>
      <c r="K1177" t="s">
        <v>25</v>
      </c>
      <c r="L1177" t="s">
        <v>18</v>
      </c>
    </row>
    <row r="1178" spans="1:12" x14ac:dyDescent="0.3">
      <c r="A1178">
        <v>10376</v>
      </c>
      <c r="B1178" s="2">
        <v>45648</v>
      </c>
      <c r="C1178" t="s">
        <v>40</v>
      </c>
      <c r="D1178" t="s">
        <v>13</v>
      </c>
      <c r="E1178" t="s">
        <v>14</v>
      </c>
      <c r="F1178" t="s">
        <v>38</v>
      </c>
      <c r="G1178" t="s">
        <v>39</v>
      </c>
      <c r="H1178">
        <v>3</v>
      </c>
      <c r="I1178" s="3">
        <v>145</v>
      </c>
      <c r="J1178" s="3">
        <v>435</v>
      </c>
      <c r="K1178" t="s">
        <v>35</v>
      </c>
      <c r="L1178" t="s">
        <v>27</v>
      </c>
    </row>
    <row r="1179" spans="1:12" x14ac:dyDescent="0.3">
      <c r="A1179">
        <v>10975</v>
      </c>
      <c r="B1179" s="2">
        <v>45648</v>
      </c>
      <c r="C1179" t="s">
        <v>12</v>
      </c>
      <c r="D1179" t="s">
        <v>22</v>
      </c>
      <c r="E1179" t="s">
        <v>23</v>
      </c>
      <c r="F1179" t="s">
        <v>28</v>
      </c>
      <c r="G1179" t="s">
        <v>36</v>
      </c>
      <c r="H1179">
        <v>3</v>
      </c>
      <c r="I1179" s="3">
        <v>92</v>
      </c>
      <c r="J1179" s="3">
        <v>276</v>
      </c>
      <c r="K1179" t="s">
        <v>25</v>
      </c>
      <c r="L1179" t="s">
        <v>20</v>
      </c>
    </row>
    <row r="1180" spans="1:12" x14ac:dyDescent="0.3">
      <c r="A1180">
        <v>10902</v>
      </c>
      <c r="B1180" s="2">
        <v>45649</v>
      </c>
      <c r="C1180" t="s">
        <v>21</v>
      </c>
      <c r="D1180" t="s">
        <v>13</v>
      </c>
      <c r="E1180" t="s">
        <v>23</v>
      </c>
      <c r="F1180" t="s">
        <v>28</v>
      </c>
      <c r="G1180" t="s">
        <v>29</v>
      </c>
      <c r="H1180">
        <v>2</v>
      </c>
      <c r="I1180" s="3">
        <v>129</v>
      </c>
      <c r="J1180" s="3">
        <v>258</v>
      </c>
      <c r="K1180" t="s">
        <v>30</v>
      </c>
      <c r="L1180" t="s">
        <v>18</v>
      </c>
    </row>
    <row r="1181" spans="1:12" x14ac:dyDescent="0.3">
      <c r="A1181">
        <v>10950</v>
      </c>
      <c r="B1181" s="2">
        <v>45649</v>
      </c>
      <c r="C1181" t="s">
        <v>37</v>
      </c>
      <c r="D1181" t="s">
        <v>31</v>
      </c>
      <c r="E1181" t="s">
        <v>14</v>
      </c>
      <c r="F1181" t="s">
        <v>28</v>
      </c>
      <c r="G1181" t="s">
        <v>29</v>
      </c>
      <c r="H1181">
        <v>2</v>
      </c>
      <c r="I1181" s="3">
        <v>121</v>
      </c>
      <c r="J1181" s="3">
        <v>242</v>
      </c>
      <c r="K1181" t="s">
        <v>30</v>
      </c>
      <c r="L1181" t="s">
        <v>18</v>
      </c>
    </row>
    <row r="1182" spans="1:12" x14ac:dyDescent="0.3">
      <c r="A1182">
        <v>10085</v>
      </c>
      <c r="B1182" s="2">
        <v>45650</v>
      </c>
      <c r="C1182" t="s">
        <v>21</v>
      </c>
      <c r="D1182" t="s">
        <v>26</v>
      </c>
      <c r="E1182" t="s">
        <v>23</v>
      </c>
      <c r="F1182" t="s">
        <v>38</v>
      </c>
      <c r="G1182" t="s">
        <v>41</v>
      </c>
      <c r="H1182">
        <v>4</v>
      </c>
      <c r="I1182" s="3">
        <v>97</v>
      </c>
      <c r="J1182" s="3">
        <v>388</v>
      </c>
      <c r="K1182" t="s">
        <v>30</v>
      </c>
      <c r="L1182" t="s">
        <v>18</v>
      </c>
    </row>
    <row r="1183" spans="1:12" x14ac:dyDescent="0.3">
      <c r="A1183">
        <v>10826</v>
      </c>
      <c r="B1183" s="2">
        <v>45650</v>
      </c>
      <c r="C1183" t="s">
        <v>21</v>
      </c>
      <c r="D1183" t="s">
        <v>42</v>
      </c>
      <c r="E1183" t="s">
        <v>14</v>
      </c>
      <c r="F1183" t="s">
        <v>28</v>
      </c>
      <c r="G1183" t="s">
        <v>29</v>
      </c>
      <c r="H1183">
        <v>5</v>
      </c>
      <c r="I1183" s="3">
        <v>57</v>
      </c>
      <c r="J1183" s="3">
        <v>285</v>
      </c>
      <c r="K1183" t="s">
        <v>17</v>
      </c>
      <c r="L1183" t="s">
        <v>27</v>
      </c>
    </row>
    <row r="1184" spans="1:12" x14ac:dyDescent="0.3">
      <c r="A1184">
        <v>10959</v>
      </c>
      <c r="B1184" s="2">
        <v>45650</v>
      </c>
      <c r="C1184" t="s">
        <v>12</v>
      </c>
      <c r="D1184" t="s">
        <v>26</v>
      </c>
      <c r="E1184" t="s">
        <v>23</v>
      </c>
      <c r="F1184" t="s">
        <v>28</v>
      </c>
      <c r="G1184" t="s">
        <v>36</v>
      </c>
      <c r="H1184">
        <v>1</v>
      </c>
      <c r="I1184" s="3">
        <v>91</v>
      </c>
      <c r="J1184" s="3">
        <v>91</v>
      </c>
      <c r="K1184" t="s">
        <v>17</v>
      </c>
      <c r="L1184" t="s">
        <v>27</v>
      </c>
    </row>
    <row r="1185" spans="1:12" x14ac:dyDescent="0.3">
      <c r="A1185">
        <v>10973</v>
      </c>
      <c r="B1185" s="2">
        <v>45650</v>
      </c>
      <c r="C1185" t="s">
        <v>40</v>
      </c>
      <c r="D1185" t="s">
        <v>13</v>
      </c>
      <c r="E1185" t="s">
        <v>23</v>
      </c>
      <c r="F1185" t="s">
        <v>38</v>
      </c>
      <c r="G1185" t="s">
        <v>41</v>
      </c>
      <c r="H1185">
        <v>2</v>
      </c>
      <c r="I1185" s="3">
        <v>77</v>
      </c>
      <c r="J1185" s="3">
        <v>154</v>
      </c>
      <c r="K1185" t="s">
        <v>30</v>
      </c>
      <c r="L1185" t="s">
        <v>33</v>
      </c>
    </row>
    <row r="1186" spans="1:12" x14ac:dyDescent="0.3">
      <c r="A1186">
        <v>10426</v>
      </c>
      <c r="B1186" s="2">
        <v>45651</v>
      </c>
      <c r="C1186" t="s">
        <v>37</v>
      </c>
      <c r="D1186" t="s">
        <v>22</v>
      </c>
      <c r="E1186" t="s">
        <v>14</v>
      </c>
      <c r="F1186" t="s">
        <v>28</v>
      </c>
      <c r="G1186" t="s">
        <v>29</v>
      </c>
      <c r="H1186">
        <v>5</v>
      </c>
      <c r="I1186" s="3">
        <v>96</v>
      </c>
      <c r="J1186" s="3">
        <v>480</v>
      </c>
      <c r="K1186" t="s">
        <v>32</v>
      </c>
      <c r="L1186" t="s">
        <v>20</v>
      </c>
    </row>
    <row r="1187" spans="1:12" x14ac:dyDescent="0.3">
      <c r="A1187">
        <v>11195</v>
      </c>
      <c r="B1187" s="2">
        <v>45651</v>
      </c>
      <c r="C1187" t="s">
        <v>21</v>
      </c>
      <c r="D1187" t="s">
        <v>22</v>
      </c>
      <c r="E1187" t="s">
        <v>14</v>
      </c>
      <c r="F1187" t="s">
        <v>38</v>
      </c>
      <c r="G1187" t="s">
        <v>43</v>
      </c>
      <c r="H1187">
        <v>2</v>
      </c>
      <c r="I1187" s="3">
        <v>130</v>
      </c>
      <c r="J1187" s="3">
        <v>260</v>
      </c>
      <c r="K1187" t="s">
        <v>25</v>
      </c>
      <c r="L1187" t="s">
        <v>27</v>
      </c>
    </row>
    <row r="1188" spans="1:12" x14ac:dyDescent="0.3">
      <c r="A1188">
        <v>10225</v>
      </c>
      <c r="B1188" s="2">
        <v>45652</v>
      </c>
      <c r="C1188" t="s">
        <v>37</v>
      </c>
      <c r="D1188" t="s">
        <v>31</v>
      </c>
      <c r="E1188" t="s">
        <v>23</v>
      </c>
      <c r="F1188" t="s">
        <v>38</v>
      </c>
      <c r="G1188" t="s">
        <v>41</v>
      </c>
      <c r="H1188">
        <v>4</v>
      </c>
      <c r="I1188" s="3">
        <v>148</v>
      </c>
      <c r="J1188" s="3">
        <v>592</v>
      </c>
      <c r="K1188" t="s">
        <v>35</v>
      </c>
      <c r="L1188" t="s">
        <v>20</v>
      </c>
    </row>
    <row r="1189" spans="1:12" x14ac:dyDescent="0.3">
      <c r="A1189">
        <v>10297</v>
      </c>
      <c r="B1189" s="2">
        <v>45652</v>
      </c>
      <c r="C1189" t="s">
        <v>37</v>
      </c>
      <c r="D1189" t="s">
        <v>26</v>
      </c>
      <c r="E1189" t="s">
        <v>23</v>
      </c>
      <c r="F1189" t="s">
        <v>15</v>
      </c>
      <c r="G1189" t="s">
        <v>24</v>
      </c>
      <c r="H1189">
        <v>2</v>
      </c>
      <c r="I1189" s="3">
        <v>102</v>
      </c>
      <c r="J1189" s="3">
        <v>204</v>
      </c>
      <c r="K1189" t="s">
        <v>17</v>
      </c>
      <c r="L1189" t="s">
        <v>18</v>
      </c>
    </row>
    <row r="1190" spans="1:12" x14ac:dyDescent="0.3">
      <c r="A1190">
        <v>10361</v>
      </c>
      <c r="B1190" s="2">
        <v>45652</v>
      </c>
      <c r="C1190" t="s">
        <v>40</v>
      </c>
      <c r="D1190" t="s">
        <v>42</v>
      </c>
      <c r="E1190" t="s">
        <v>14</v>
      </c>
      <c r="F1190" t="s">
        <v>38</v>
      </c>
      <c r="G1190" t="s">
        <v>43</v>
      </c>
      <c r="H1190">
        <v>5</v>
      </c>
      <c r="I1190" s="3">
        <v>143</v>
      </c>
      <c r="J1190" s="3">
        <v>715</v>
      </c>
      <c r="K1190" t="s">
        <v>17</v>
      </c>
      <c r="L1190" t="s">
        <v>27</v>
      </c>
    </row>
    <row r="1191" spans="1:12" x14ac:dyDescent="0.3">
      <c r="A1191">
        <v>10480</v>
      </c>
      <c r="B1191" s="2">
        <v>45653</v>
      </c>
      <c r="C1191" t="s">
        <v>21</v>
      </c>
      <c r="D1191" t="s">
        <v>13</v>
      </c>
      <c r="E1191" t="s">
        <v>14</v>
      </c>
      <c r="F1191" t="s">
        <v>38</v>
      </c>
      <c r="G1191" t="s">
        <v>39</v>
      </c>
      <c r="H1191">
        <v>5</v>
      </c>
      <c r="I1191" s="3">
        <v>108</v>
      </c>
      <c r="J1191" s="3">
        <v>540</v>
      </c>
      <c r="K1191" t="s">
        <v>32</v>
      </c>
      <c r="L1191" t="s">
        <v>27</v>
      </c>
    </row>
    <row r="1192" spans="1:12" x14ac:dyDescent="0.3">
      <c r="A1192">
        <v>10739</v>
      </c>
      <c r="B1192" s="2">
        <v>45653</v>
      </c>
      <c r="C1192" t="s">
        <v>12</v>
      </c>
      <c r="D1192" t="s">
        <v>42</v>
      </c>
      <c r="E1192" t="s">
        <v>23</v>
      </c>
      <c r="F1192" t="s">
        <v>28</v>
      </c>
      <c r="G1192" t="s">
        <v>34</v>
      </c>
      <c r="H1192">
        <v>5</v>
      </c>
      <c r="I1192" s="3">
        <v>97</v>
      </c>
      <c r="J1192" s="3">
        <v>485</v>
      </c>
      <c r="K1192" t="s">
        <v>32</v>
      </c>
      <c r="L1192" t="s">
        <v>33</v>
      </c>
    </row>
    <row r="1193" spans="1:12" x14ac:dyDescent="0.3">
      <c r="A1193">
        <v>10999</v>
      </c>
      <c r="B1193" s="2">
        <v>45653</v>
      </c>
      <c r="C1193" t="s">
        <v>21</v>
      </c>
      <c r="D1193" t="s">
        <v>13</v>
      </c>
      <c r="E1193" t="s">
        <v>23</v>
      </c>
      <c r="F1193" t="s">
        <v>15</v>
      </c>
      <c r="G1193" t="s">
        <v>16</v>
      </c>
      <c r="H1193">
        <v>5</v>
      </c>
      <c r="I1193" s="3">
        <v>127</v>
      </c>
      <c r="J1193" s="3">
        <v>635</v>
      </c>
      <c r="K1193" t="s">
        <v>35</v>
      </c>
      <c r="L1193" t="s">
        <v>27</v>
      </c>
    </row>
    <row r="1194" spans="1:12" x14ac:dyDescent="0.3">
      <c r="A1194">
        <v>11018</v>
      </c>
      <c r="B1194" s="2">
        <v>45653</v>
      </c>
      <c r="C1194" t="s">
        <v>40</v>
      </c>
      <c r="D1194" t="s">
        <v>22</v>
      </c>
      <c r="E1194" t="s">
        <v>14</v>
      </c>
      <c r="F1194" t="s">
        <v>15</v>
      </c>
      <c r="G1194" t="s">
        <v>19</v>
      </c>
      <c r="H1194">
        <v>2</v>
      </c>
      <c r="I1194" s="3">
        <v>141</v>
      </c>
      <c r="J1194" s="3">
        <v>282</v>
      </c>
      <c r="K1194" t="s">
        <v>32</v>
      </c>
      <c r="L1194" t="s">
        <v>20</v>
      </c>
    </row>
    <row r="1195" spans="1:12" x14ac:dyDescent="0.3">
      <c r="A1195">
        <v>10353</v>
      </c>
      <c r="B1195" s="2">
        <v>45654</v>
      </c>
      <c r="C1195" t="s">
        <v>37</v>
      </c>
      <c r="D1195" t="s">
        <v>13</v>
      </c>
      <c r="E1195" t="s">
        <v>14</v>
      </c>
      <c r="F1195" t="s">
        <v>15</v>
      </c>
      <c r="G1195" t="s">
        <v>19</v>
      </c>
      <c r="H1195">
        <v>3</v>
      </c>
      <c r="I1195" s="3">
        <v>64</v>
      </c>
      <c r="J1195" s="3">
        <v>192</v>
      </c>
      <c r="K1195" t="s">
        <v>30</v>
      </c>
      <c r="L1195" t="s">
        <v>33</v>
      </c>
    </row>
    <row r="1196" spans="1:12" x14ac:dyDescent="0.3">
      <c r="A1196">
        <v>10819</v>
      </c>
      <c r="B1196" s="2">
        <v>45654</v>
      </c>
      <c r="C1196" t="s">
        <v>21</v>
      </c>
      <c r="D1196" t="s">
        <v>22</v>
      </c>
      <c r="E1196" t="s">
        <v>23</v>
      </c>
      <c r="F1196" t="s">
        <v>28</v>
      </c>
      <c r="G1196" t="s">
        <v>29</v>
      </c>
      <c r="H1196">
        <v>2</v>
      </c>
      <c r="I1196" s="3">
        <v>94</v>
      </c>
      <c r="J1196" s="3">
        <v>188</v>
      </c>
      <c r="K1196" t="s">
        <v>25</v>
      </c>
      <c r="L1196" t="s">
        <v>20</v>
      </c>
    </row>
    <row r="1197" spans="1:12" x14ac:dyDescent="0.3">
      <c r="A1197">
        <v>10142</v>
      </c>
      <c r="B1197" s="2">
        <v>45655</v>
      </c>
      <c r="C1197" t="s">
        <v>21</v>
      </c>
      <c r="D1197" t="s">
        <v>26</v>
      </c>
      <c r="E1197" t="s">
        <v>14</v>
      </c>
      <c r="F1197" t="s">
        <v>38</v>
      </c>
      <c r="G1197" t="s">
        <v>43</v>
      </c>
      <c r="H1197">
        <v>4</v>
      </c>
      <c r="I1197" s="3">
        <v>123</v>
      </c>
      <c r="J1197" s="3">
        <v>492</v>
      </c>
      <c r="K1197" t="s">
        <v>30</v>
      </c>
      <c r="L1197" t="s">
        <v>18</v>
      </c>
    </row>
    <row r="1198" spans="1:12" x14ac:dyDescent="0.3">
      <c r="A1198">
        <v>10185</v>
      </c>
      <c r="B1198" s="2">
        <v>45655</v>
      </c>
      <c r="C1198" t="s">
        <v>40</v>
      </c>
      <c r="D1198" t="s">
        <v>22</v>
      </c>
      <c r="E1198" t="s">
        <v>23</v>
      </c>
      <c r="F1198" t="s">
        <v>28</v>
      </c>
      <c r="G1198" t="s">
        <v>36</v>
      </c>
      <c r="H1198">
        <v>3</v>
      </c>
      <c r="I1198" s="3">
        <v>108</v>
      </c>
      <c r="J1198" s="3">
        <v>324</v>
      </c>
      <c r="K1198" t="s">
        <v>35</v>
      </c>
      <c r="L1198" t="s">
        <v>20</v>
      </c>
    </row>
    <row r="1199" spans="1:12" x14ac:dyDescent="0.3">
      <c r="A1199">
        <v>10331</v>
      </c>
      <c r="B1199" s="2">
        <v>45656</v>
      </c>
      <c r="C1199" t="s">
        <v>37</v>
      </c>
      <c r="D1199" t="s">
        <v>31</v>
      </c>
      <c r="E1199" t="s">
        <v>14</v>
      </c>
      <c r="F1199" t="s">
        <v>38</v>
      </c>
      <c r="G1199" t="s">
        <v>39</v>
      </c>
      <c r="H1199">
        <v>1</v>
      </c>
      <c r="I1199" s="3">
        <v>56</v>
      </c>
      <c r="J1199" s="3">
        <v>56</v>
      </c>
      <c r="K1199" t="s">
        <v>32</v>
      </c>
      <c r="L1199" t="s">
        <v>27</v>
      </c>
    </row>
    <row r="1200" spans="1:12" x14ac:dyDescent="0.3">
      <c r="A1200">
        <v>10888</v>
      </c>
      <c r="B1200" s="2">
        <v>45656</v>
      </c>
      <c r="C1200" t="s">
        <v>40</v>
      </c>
      <c r="D1200" t="s">
        <v>31</v>
      </c>
      <c r="E1200" t="s">
        <v>14</v>
      </c>
      <c r="F1200" t="s">
        <v>15</v>
      </c>
      <c r="G1200" t="s">
        <v>16</v>
      </c>
      <c r="H1200">
        <v>5</v>
      </c>
      <c r="I1200" s="3">
        <v>131</v>
      </c>
      <c r="J1200" s="3">
        <v>655</v>
      </c>
      <c r="K1200" t="s">
        <v>32</v>
      </c>
      <c r="L1200" t="s">
        <v>20</v>
      </c>
    </row>
    <row r="1201" spans="1:12" x14ac:dyDescent="0.3">
      <c r="A1201">
        <v>10962</v>
      </c>
      <c r="B1201" s="2">
        <v>45656</v>
      </c>
      <c r="C1201" t="s">
        <v>12</v>
      </c>
      <c r="D1201" t="s">
        <v>22</v>
      </c>
      <c r="E1201" t="s">
        <v>14</v>
      </c>
      <c r="F1201" t="s">
        <v>15</v>
      </c>
      <c r="G1201" t="s">
        <v>19</v>
      </c>
      <c r="H1201">
        <v>3</v>
      </c>
      <c r="I1201" s="3">
        <v>69</v>
      </c>
      <c r="J1201" s="3">
        <v>207</v>
      </c>
      <c r="K1201" t="s">
        <v>32</v>
      </c>
      <c r="L1201" t="s">
        <v>27</v>
      </c>
    </row>
  </sheetData>
  <sheetProtection algorithmName="SHA-512" hashValue="AhFs6G8kekhELrhk9GQPDvlkiEmlPYvCRkyWP+snsrrXQaqvOFiNQ1m0gqsplimfc5v7MmlBVpCaLcYWIgbbMA==" saltValue="ErMxKIKyvVrameSgg9/Dpw==" spinCount="100000" sheet="1" objects="1" scenarios="1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0DEE-EA10-435D-81EB-375128D6FFC4}">
  <dimension ref="B2:AE17"/>
  <sheetViews>
    <sheetView workbookViewId="0">
      <selection activeCell="I14" sqref="I14"/>
    </sheetView>
  </sheetViews>
  <sheetFormatPr baseColWidth="10" defaultRowHeight="14.4" x14ac:dyDescent="0.3"/>
  <cols>
    <col min="2" max="2" width="9.88671875" bestFit="1" customWidth="1"/>
    <col min="5" max="5" width="11.21875" bestFit="1" customWidth="1"/>
    <col min="11" max="11" width="17.21875" bestFit="1" customWidth="1"/>
    <col min="14" max="14" width="16.5546875" bestFit="1" customWidth="1"/>
    <col min="15" max="15" width="14" bestFit="1" customWidth="1"/>
    <col min="16" max="16" width="20.5546875" bestFit="1" customWidth="1"/>
    <col min="18" max="18" width="16.5546875" bestFit="1" customWidth="1"/>
    <col min="19" max="19" width="15.77734375" bestFit="1" customWidth="1"/>
    <col min="22" max="22" width="16.5546875" bestFit="1" customWidth="1"/>
    <col min="23" max="23" width="13.5546875" bestFit="1" customWidth="1"/>
    <col min="26" max="26" width="16.5546875" bestFit="1" customWidth="1"/>
    <col min="27" max="27" width="23.21875" bestFit="1" customWidth="1"/>
    <col min="28" max="28" width="9" bestFit="1" customWidth="1"/>
    <col min="29" max="29" width="11.88671875" bestFit="1" customWidth="1"/>
    <col min="30" max="30" width="16.5546875" bestFit="1" customWidth="1"/>
    <col min="31" max="31" width="15.109375" bestFit="1" customWidth="1"/>
    <col min="34" max="34" width="16.5546875" bestFit="1" customWidth="1"/>
    <col min="35" max="35" width="9.21875" bestFit="1" customWidth="1"/>
  </cols>
  <sheetData>
    <row r="2" spans="2:31" x14ac:dyDescent="0.3">
      <c r="B2" s="10" t="s">
        <v>52</v>
      </c>
      <c r="E2" s="10" t="s">
        <v>53</v>
      </c>
      <c r="H2" s="10" t="s">
        <v>54</v>
      </c>
      <c r="K2" s="9" t="s">
        <v>55</v>
      </c>
      <c r="N2" s="9" t="s">
        <v>56</v>
      </c>
      <c r="R2" s="9" t="s">
        <v>57</v>
      </c>
      <c r="V2" s="9" t="s">
        <v>58</v>
      </c>
      <c r="Z2" s="9" t="s">
        <v>60</v>
      </c>
      <c r="AD2" s="9" t="s">
        <v>61</v>
      </c>
    </row>
    <row r="4" spans="2:31" x14ac:dyDescent="0.3">
      <c r="B4" t="s">
        <v>52</v>
      </c>
      <c r="E4" t="s">
        <v>53</v>
      </c>
      <c r="K4" t="s">
        <v>55</v>
      </c>
      <c r="N4" s="4" t="s">
        <v>50</v>
      </c>
      <c r="O4" t="s">
        <v>56</v>
      </c>
      <c r="P4" s="9" t="s">
        <v>59</v>
      </c>
      <c r="R4" s="4" t="s">
        <v>50</v>
      </c>
      <c r="S4" t="s">
        <v>57</v>
      </c>
      <c r="V4" s="4" t="s">
        <v>50</v>
      </c>
      <c r="W4" t="s">
        <v>58</v>
      </c>
      <c r="Z4" s="4" t="s">
        <v>50</v>
      </c>
      <c r="AA4" t="s">
        <v>60</v>
      </c>
      <c r="AD4" s="4" t="s">
        <v>50</v>
      </c>
      <c r="AE4" t="s">
        <v>61</v>
      </c>
    </row>
    <row r="5" spans="2:31" x14ac:dyDescent="0.3">
      <c r="B5" s="3">
        <v>181334</v>
      </c>
      <c r="C5" s="3">
        <f>$B$5</f>
        <v>181334</v>
      </c>
      <c r="E5" s="11">
        <v>720</v>
      </c>
      <c r="F5">
        <f>$E$5</f>
        <v>720</v>
      </c>
      <c r="H5" s="3">
        <f>$C$5/$F$5</f>
        <v>251.85277777777779</v>
      </c>
      <c r="K5" s="11">
        <v>2155</v>
      </c>
      <c r="L5">
        <f>$K$5</f>
        <v>2155</v>
      </c>
      <c r="N5" s="5" t="s">
        <v>62</v>
      </c>
      <c r="O5" s="3">
        <v>13601</v>
      </c>
      <c r="P5" s="3">
        <f>AVERAGE($O$5:$O$16)</f>
        <v>15111.166666666666</v>
      </c>
      <c r="R5" s="5" t="s">
        <v>15</v>
      </c>
      <c r="S5" s="8">
        <v>0.32168815555825164</v>
      </c>
      <c r="V5" s="5" t="s">
        <v>19</v>
      </c>
      <c r="W5" s="3">
        <v>17731</v>
      </c>
      <c r="Z5" s="5" t="s">
        <v>33</v>
      </c>
      <c r="AA5" s="3">
        <v>41353</v>
      </c>
      <c r="AD5" s="5" t="s">
        <v>14</v>
      </c>
      <c r="AE5" s="7">
        <v>0.52162859695368768</v>
      </c>
    </row>
    <row r="6" spans="2:31" x14ac:dyDescent="0.3">
      <c r="N6" s="5" t="s">
        <v>44</v>
      </c>
      <c r="O6" s="3">
        <v>14110</v>
      </c>
      <c r="R6" s="5" t="s">
        <v>38</v>
      </c>
      <c r="S6" s="8">
        <v>0.34740313454729949</v>
      </c>
      <c r="V6" s="5" t="s">
        <v>29</v>
      </c>
      <c r="W6" s="3">
        <v>17810</v>
      </c>
      <c r="Z6" s="5" t="s">
        <v>18</v>
      </c>
      <c r="AA6" s="3">
        <v>47846</v>
      </c>
      <c r="AD6" s="5" t="s">
        <v>23</v>
      </c>
      <c r="AE6" s="7">
        <v>0.47837140304631232</v>
      </c>
    </row>
    <row r="7" spans="2:31" x14ac:dyDescent="0.3">
      <c r="N7" s="5" t="s">
        <v>45</v>
      </c>
      <c r="O7" s="3">
        <v>20541</v>
      </c>
      <c r="R7" s="5" t="s">
        <v>28</v>
      </c>
      <c r="S7" s="8">
        <v>0.33090870989444893</v>
      </c>
      <c r="V7" s="5" t="s">
        <v>34</v>
      </c>
      <c r="W7" s="3">
        <v>18003</v>
      </c>
      <c r="Z7" s="5" t="s">
        <v>20</v>
      </c>
      <c r="AA7" s="3">
        <v>48722</v>
      </c>
      <c r="AD7" s="5" t="s">
        <v>51</v>
      </c>
      <c r="AE7" s="7">
        <v>1</v>
      </c>
    </row>
    <row r="8" spans="2:31" x14ac:dyDescent="0.3">
      <c r="N8" s="5" t="s">
        <v>46</v>
      </c>
      <c r="O8" s="3">
        <v>11802</v>
      </c>
      <c r="R8" s="5" t="s">
        <v>51</v>
      </c>
      <c r="S8" s="8">
        <v>1</v>
      </c>
      <c r="V8" s="5" t="s">
        <v>41</v>
      </c>
      <c r="W8" s="3">
        <v>18054</v>
      </c>
      <c r="Z8" s="5" t="s">
        <v>27</v>
      </c>
      <c r="AA8" s="3">
        <v>43413</v>
      </c>
    </row>
    <row r="9" spans="2:31" x14ac:dyDescent="0.3">
      <c r="N9" s="5" t="s">
        <v>47</v>
      </c>
      <c r="O9" s="3">
        <v>14341</v>
      </c>
      <c r="V9" s="5" t="s">
        <v>24</v>
      </c>
      <c r="W9" s="3">
        <v>20079</v>
      </c>
      <c r="Z9" s="5" t="s">
        <v>51</v>
      </c>
      <c r="AA9" s="3">
        <v>181334</v>
      </c>
    </row>
    <row r="10" spans="2:31" x14ac:dyDescent="0.3">
      <c r="N10" s="5" t="s">
        <v>48</v>
      </c>
      <c r="O10" s="3">
        <v>14077</v>
      </c>
      <c r="V10" s="5" t="s">
        <v>16</v>
      </c>
      <c r="W10" s="3">
        <v>20523</v>
      </c>
    </row>
    <row r="11" spans="2:31" x14ac:dyDescent="0.3">
      <c r="N11" s="5" t="s">
        <v>49</v>
      </c>
      <c r="O11" s="3">
        <v>14266</v>
      </c>
      <c r="V11" s="5" t="s">
        <v>43</v>
      </c>
      <c r="W11" s="3">
        <v>22218</v>
      </c>
    </row>
    <row r="12" spans="2:31" x14ac:dyDescent="0.3">
      <c r="N12" s="5" t="s">
        <v>63</v>
      </c>
      <c r="O12" s="3">
        <v>15231</v>
      </c>
      <c r="V12" s="5" t="s">
        <v>39</v>
      </c>
      <c r="W12" s="3">
        <v>22724</v>
      </c>
    </row>
    <row r="13" spans="2:31" x14ac:dyDescent="0.3">
      <c r="N13" s="5" t="s">
        <v>64</v>
      </c>
      <c r="O13" s="3">
        <v>15546</v>
      </c>
      <c r="V13" s="5" t="s">
        <v>36</v>
      </c>
      <c r="W13" s="3">
        <v>24192</v>
      </c>
    </row>
    <row r="14" spans="2:31" x14ac:dyDescent="0.3">
      <c r="N14" s="5" t="s">
        <v>65</v>
      </c>
      <c r="O14" s="3">
        <v>16420</v>
      </c>
      <c r="V14" s="5" t="s">
        <v>51</v>
      </c>
      <c r="W14" s="3">
        <v>181334</v>
      </c>
    </row>
    <row r="15" spans="2:31" x14ac:dyDescent="0.3">
      <c r="N15" s="5" t="s">
        <v>66</v>
      </c>
      <c r="O15" s="3">
        <v>15013</v>
      </c>
    </row>
    <row r="16" spans="2:31" x14ac:dyDescent="0.3">
      <c r="N16" s="5" t="s">
        <v>67</v>
      </c>
      <c r="O16" s="3">
        <v>16386</v>
      </c>
    </row>
    <row r="17" spans="14:15" x14ac:dyDescent="0.3">
      <c r="N17" s="5" t="s">
        <v>51</v>
      </c>
      <c r="O17" s="3">
        <v>181334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5285-B5A8-42C9-B45E-7889EA4CF87E}">
  <dimension ref="A1:A36"/>
  <sheetViews>
    <sheetView showGridLines="0" showRowColHeaders="0" tabSelected="1" zoomScale="80" zoomScaleNormal="80" zoomScaleSheetLayoutView="80" workbookViewId="0">
      <selection activeCell="Z6" sqref="Z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88671875" defaultRowHeight="14.4" x14ac:dyDescent="0.3"/>
  <cols>
    <col min="1" max="1" width="13.44140625" style="6" bestFit="1" customWidth="1"/>
    <col min="2" max="2" width="17.5546875" style="6" bestFit="1" customWidth="1"/>
    <col min="3" max="3" width="8.88671875" style="6"/>
    <col min="4" max="4" width="13.44140625" style="6" bestFit="1" customWidth="1"/>
    <col min="5" max="5" width="17.5546875" style="6" bestFit="1" customWidth="1"/>
    <col min="6" max="16384" width="8.88671875" style="6"/>
  </cols>
  <sheetData>
    <row r="1" ht="13.8" customHeight="1" x14ac:dyDescent="0.3"/>
    <row r="2" ht="13.8" customHeight="1" x14ac:dyDescent="0.3"/>
    <row r="3" ht="13.8" customHeight="1" x14ac:dyDescent="0.3"/>
    <row r="4" ht="13.8" customHeight="1" x14ac:dyDescent="0.3"/>
    <row r="7" ht="13.8" customHeight="1" x14ac:dyDescent="0.3"/>
    <row r="8" ht="13.8" customHeight="1" x14ac:dyDescent="0.3"/>
    <row r="9" ht="13.8" customHeight="1" x14ac:dyDescent="0.3"/>
    <row r="10" ht="13.8" customHeight="1" x14ac:dyDescent="0.3"/>
    <row r="12" ht="13.8" customHeight="1" x14ac:dyDescent="0.3"/>
    <row r="13" ht="13.8" customHeight="1" x14ac:dyDescent="0.3"/>
    <row r="14" ht="13.8" customHeight="1" x14ac:dyDescent="0.3"/>
    <row r="15" ht="13.8" customHeight="1" x14ac:dyDescent="0.3"/>
    <row r="16" ht="13.8" customHeight="1" x14ac:dyDescent="0.3"/>
    <row r="17" ht="13.8" customHeight="1" x14ac:dyDescent="0.3"/>
    <row r="20" ht="13.8" customHeight="1" x14ac:dyDescent="0.3"/>
    <row r="21" ht="13.8" customHeight="1" x14ac:dyDescent="0.3"/>
    <row r="22" ht="13.8" customHeight="1" x14ac:dyDescent="0.3"/>
    <row r="23" ht="13.8" customHeight="1" x14ac:dyDescent="0.3"/>
    <row r="24" ht="13.8" customHeight="1" x14ac:dyDescent="0.3"/>
    <row r="25" ht="13.8" customHeight="1" x14ac:dyDescent="0.3"/>
    <row r="26" ht="13.8" customHeight="1" x14ac:dyDescent="0.3"/>
    <row r="27" ht="13.8" customHeight="1" x14ac:dyDescent="0.3"/>
    <row r="28" ht="13.8" customHeight="1" x14ac:dyDescent="0.3"/>
    <row r="29" ht="13.8" customHeight="1" x14ac:dyDescent="0.3"/>
    <row r="30" ht="13.8" customHeight="1" x14ac:dyDescent="0.3"/>
    <row r="31" ht="13.8" customHeight="1" x14ac:dyDescent="0.3"/>
    <row r="32" ht="13.8" customHeight="1" x14ac:dyDescent="0.3"/>
    <row r="33" ht="13.8" customHeight="1" x14ac:dyDescent="0.3"/>
    <row r="34" ht="13.8" customHeight="1" x14ac:dyDescent="0.3"/>
    <row r="35" ht="13.8" customHeight="1" x14ac:dyDescent="0.3"/>
    <row r="36" ht="13.8" customHeight="1" x14ac:dyDescent="0.3"/>
  </sheetData>
  <pageMargins left="0.7" right="0.7" top="0.75" bottom="0.75" header="0.3" footer="0.3"/>
  <pageSetup paperSize="9" scale="35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data</vt:lpstr>
      <vt:lpstr>Analysis </vt:lpstr>
      <vt:lpstr>dashboard</vt:lpstr>
      <vt:lpstr>dashboard!Área_de_impresión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MANUEL ARREDONDO LONDONO</cp:lastModifiedBy>
  <cp:lastPrinted>2025-12-27T07:24:51Z</cp:lastPrinted>
  <dcterms:created xsi:type="dcterms:W3CDTF">2025-12-23T23:13:34Z</dcterms:created>
  <dcterms:modified xsi:type="dcterms:W3CDTF">2025-12-27T20:44:15Z</dcterms:modified>
</cp:coreProperties>
</file>